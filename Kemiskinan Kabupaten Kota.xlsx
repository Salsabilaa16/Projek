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1.xml" ContentType="application/vnd.openxmlformats-officedocument.spreadsheetml.table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tables/table15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tables/table17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tables/table18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SUS\New folder\"/>
    </mc:Choice>
  </mc:AlternateContent>
  <xr:revisionPtr revIDLastSave="0" documentId="13_ncr:1_{F359B6FD-D3B9-4A6F-888A-F79AD3BC85C9}" xr6:coauthVersionLast="47" xr6:coauthVersionMax="47" xr10:uidLastSave="{00000000-0000-0000-0000-000000000000}"/>
  <bookViews>
    <workbookView xWindow="-110" yWindow="-110" windowWidth="19420" windowHeight="11500" firstSheet="14" activeTab="17" xr2:uid="{00000000-000D-0000-FFFF-FFFF00000000}"/>
  </bookViews>
  <sheets>
    <sheet name="Jumlah Pend Miskin" sheetId="1" r:id="rId1"/>
    <sheet name="P0" sheetId="2" r:id="rId2"/>
    <sheet name="GK" sheetId="3" r:id="rId3"/>
    <sheet name="P1" sheetId="4" r:id="rId4"/>
    <sheet name="P2" sheetId="5" r:id="rId5"/>
    <sheet name="Gini Ratio" sheetId="6" r:id="rId6"/>
    <sheet name="AMH Miskin" sheetId="7" r:id="rId7"/>
    <sheet name="Pendidikan Tamat" sheetId="8" r:id="rId8"/>
    <sheet name="APS Miskin" sheetId="9" r:id="rId9"/>
    <sheet name="Keluhan Kesehatan" sheetId="10" r:id="rId10"/>
    <sheet name="Kepemilikan Jamkes" sheetId="11" r:id="rId11"/>
    <sheet name="Status Bekerja" sheetId="12" r:id="rId12"/>
    <sheet name="Sektor Bekerja" sheetId="13" r:id="rId13"/>
    <sheet name="Atap Layak" sheetId="14" r:id="rId14"/>
    <sheet name="Dinding Layak" sheetId="15" r:id="rId15"/>
    <sheet name="Lantai Layak" sheetId="16" r:id="rId16"/>
    <sheet name="Air Layak dan Jamban" sheetId="17" r:id="rId17"/>
    <sheet name="Pengeluaran Makana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Bi4LV5i1RxvKaV8zhtxsoDEAZJjC11DBFTXt3DPdUMs="/>
    </ext>
  </extLst>
</workbook>
</file>

<file path=xl/calcChain.xml><?xml version="1.0" encoding="utf-8"?>
<calcChain xmlns="http://schemas.openxmlformats.org/spreadsheetml/2006/main">
  <c r="O8" i="7" l="1"/>
  <c r="P8" i="7"/>
  <c r="Q8" i="7"/>
  <c r="R8" i="7"/>
  <c r="N8" i="7"/>
  <c r="M7" i="16"/>
</calcChain>
</file>

<file path=xl/sharedStrings.xml><?xml version="1.0" encoding="utf-8"?>
<sst xmlns="http://schemas.openxmlformats.org/spreadsheetml/2006/main" count="956" uniqueCount="183">
  <si>
    <t>Jumlah Penduduk Miskin menurut Kabupaten/Kota di Jawa Timur (Ribu Jiwa)</t>
  </si>
  <si>
    <t>Kabupaten/Kota Se Jawa Timur</t>
  </si>
  <si>
    <t>2020</t>
  </si>
  <si>
    <t>2021</t>
  </si>
  <si>
    <t>2022</t>
  </si>
  <si>
    <t>2023</t>
  </si>
  <si>
    <t>2024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</si>
  <si>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</si>
  <si>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</si>
  <si>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</si>
  <si>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</si>
  <si>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</si>
  <si>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</si>
  <si>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</si>
  <si>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</si>
  <si>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</si>
  <si>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</si>
  <si>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</si>
  <si>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</si>
  <si>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</si>
  <si>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</si>
  <si>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</si>
  <si>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</si>
  <si>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</si>
  <si>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</si>
  <si>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</si>
  <si>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</si>
  <si>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</si>
  <si>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</si>
  <si>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</si>
  <si>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</si>
  <si>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</si>
  <si>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</si>
  <si>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</si>
  <si>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</si>
  <si>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</si>
  <si>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</si>
  <si>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</si>
  <si>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</si>
  <si>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</si>
  <si>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</si>
  <si>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</si>
  <si>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</si>
  <si>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</si>
  <si>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</si>
  <si>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</si>
  <si>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Persentase Penduduk Miskin Menurut Kabupaten/Kota di Jawa Timur (Persen)</t>
  </si>
  <si>
    <t>Garis Kemiskinan Menurut Kabupaten/Kota di Jawa Timur (Rupiah/Bulan/Kapita)</t>
  </si>
  <si>
    <t>Indeks Kedalaman Kemiskinan (P1) Menurut Kabupaten/Kota di Jawa Timur</t>
  </si>
  <si>
    <t>Indeks Keparahan Kemiskinan (P2) Menurut Kabupaten/Kota di Jawa Timur</t>
  </si>
  <si>
    <t>Gini Ratio Menurut Kabupaten/Kota di Jawa Timur</t>
  </si>
  <si>
    <t>Angka Melek Huruf Penduduk Miskin Menurut Kabupaten/Kota di Jawa Timur</t>
  </si>
  <si>
    <t>15-24_2020</t>
  </si>
  <si>
    <t>15-55_2020</t>
  </si>
  <si>
    <t>15-24_2021</t>
  </si>
  <si>
    <t>15-55_2021</t>
  </si>
  <si>
    <t>15-24_2022</t>
  </si>
  <si>
    <t>15-55_2022</t>
  </si>
  <si>
    <t>15-24_2023</t>
  </si>
  <si>
    <t>15-55_2023</t>
  </si>
  <si>
    <t>15-24_2024</t>
  </si>
  <si>
    <t>15-55_20242</t>
  </si>
  <si>
    <t>Persentase Penduduk Miskin Usia 15 Tahun ke Atas dan Pendidikan yang Ditamatkan Menurut Kabupaten/Kota di Jawa Timur</t>
  </si>
  <si>
    <t>&lt;SD_2020</t>
  </si>
  <si>
    <t>SD/SMP_2020</t>
  </si>
  <si>
    <t>SMA_2020</t>
  </si>
  <si>
    <t>&lt;SD_2021</t>
  </si>
  <si>
    <t>SD/SMP_2021</t>
  </si>
  <si>
    <t>SMA_2021</t>
  </si>
  <si>
    <t>&lt;SD_2022</t>
  </si>
  <si>
    <t>SD/SMP_2022</t>
  </si>
  <si>
    <t>SMA_2022</t>
  </si>
  <si>
    <t>&lt;SD_2023</t>
  </si>
  <si>
    <t>SD/SMP_2023</t>
  </si>
  <si>
    <t>SMA_2023</t>
  </si>
  <si>
    <t>&lt;SD_2024</t>
  </si>
  <si>
    <t>SD/SMP_2024</t>
  </si>
  <si>
    <t>SMA_2024</t>
  </si>
  <si>
    <t>Angka Partsipasi Sekolah Penduduk Miskin Menurut Kabupaten/Kota di Jawa Timur</t>
  </si>
  <si>
    <t>Persentase Penduduk Miskin menurut Keluhan Kesehatan di Kabupaten/Kota di Jawa Timur (Ribu Jiwa) Tahun 2024</t>
  </si>
  <si>
    <t>Ya</t>
  </si>
  <si>
    <t>Tidak</t>
  </si>
  <si>
    <t>RSE</t>
  </si>
  <si>
    <t>*</t>
  </si>
  <si>
    <t>N/A</t>
  </si>
  <si>
    <t>*Kesalahan Baku Relatif (Relative Standard Error/RSE) dalam rentang 25% &lt; RSE ≤ 50%</t>
  </si>
  <si>
    <t>Persentase Penduduk Miskin yang Memiliki Jaminan Kesehatan di Kabupaten/Kota di Jawa Timur (Ribu Jiwa) Tahun 2024</t>
  </si>
  <si>
    <t>Punya</t>
  </si>
  <si>
    <t>Tidak Punya</t>
  </si>
  <si>
    <t>Penduduk Miskin 15+ Berdasarkan Berdasarkan Status Bekerja Menurut Kabupaten/Kota di Jawa Timur</t>
  </si>
  <si>
    <t>Tidak Bekerja_2020</t>
  </si>
  <si>
    <t>Bekerja Informal_2020</t>
  </si>
  <si>
    <t>Bekerja Formal_2020</t>
  </si>
  <si>
    <t>Tidak Bekerja_2021</t>
  </si>
  <si>
    <t>Bekerja Informal_2021</t>
  </si>
  <si>
    <t>Bekerja Formal_2021</t>
  </si>
  <si>
    <t>Tidak Bekerja_2022</t>
  </si>
  <si>
    <t>Bekerja Informal_2022</t>
  </si>
  <si>
    <t>Bekerja Formal_2022</t>
  </si>
  <si>
    <t>Tidak Bekerja_2023</t>
  </si>
  <si>
    <t>Bekerja Informal_2023</t>
  </si>
  <si>
    <t>Bekerja Formal_2023</t>
  </si>
  <si>
    <t>Tidak Bekerja_2024</t>
  </si>
  <si>
    <t>Bekerja Informal_2024</t>
  </si>
  <si>
    <t>Bekerja Formal_2024</t>
  </si>
  <si>
    <t>Penduduk Miskin 15+ Berdasarkan Sektor Bekerja Menurut Kabupaten/Kota di Jawa Timur</t>
  </si>
  <si>
    <t>Bekerja Pertanian_2020</t>
  </si>
  <si>
    <t>Bekerja Bukan Pertanian_2020</t>
  </si>
  <si>
    <t>Bekerja Pertanian_2021</t>
  </si>
  <si>
    <t>Bekerja Bukan Pertanian_2021</t>
  </si>
  <si>
    <t>Bekerja Pertanian_2022</t>
  </si>
  <si>
    <t>Bekerja Bukan Pertanian_2022</t>
  </si>
  <si>
    <t>Bekerja Pertanian_2023</t>
  </si>
  <si>
    <t>Bekerja Bukan Pertanian_2023</t>
  </si>
  <si>
    <t>Bekerja Pertanian_2024</t>
  </si>
  <si>
    <t>Bekerja Bukan Pertanian_2024</t>
  </si>
  <si>
    <t>-</t>
  </si>
  <si>
    <t>40,60</t>
  </si>
  <si>
    <t>33,56</t>
  </si>
  <si>
    <t>41,04</t>
  </si>
  <si>
    <t>31,69</t>
  </si>
  <si>
    <t>34,23</t>
  </si>
  <si>
    <t>23,24</t>
  </si>
  <si>
    <t>Persentase Rumah Tangga Miskin dengan Jenis Atap Terluas yang Layak Menurut Kabupaten/Kota di Jawa Timur (Persen)</t>
  </si>
  <si>
    <t>Persentase Rumah Tangga Miskin dengan Jenis Dinding Terluas yang Layak Menurut Kabupaten/Kota di Jawa Timur (Persen)</t>
  </si>
  <si>
    <t>Persentase Rumah Tangga Miskin dengan Jenis Lantai Terluas yang Layak Menurut Kabupaten/Kota di Jawa Timur (Persen)</t>
  </si>
  <si>
    <t>Persentase Rumah Tangga Miskin yang Menggunakan Air Layak dan Jamban Sendiri/Bersama Menurut Kabupaten/Kota di Jawa Timur</t>
  </si>
  <si>
    <t>Air Layak_2020</t>
  </si>
  <si>
    <t>Jamban Sendiri/Bersama_2020</t>
  </si>
  <si>
    <t>Air Layak_2021</t>
  </si>
  <si>
    <t>Jamban Sendiri/Bersama_2021</t>
  </si>
  <si>
    <t>Air Layak_2022</t>
  </si>
  <si>
    <t>Jamban Sendiri/Bersama_2022</t>
  </si>
  <si>
    <t>Air Layak_2023</t>
  </si>
  <si>
    <t>Jamban Sendiri/Bersama_2023</t>
  </si>
  <si>
    <t>Air Layak_2024</t>
  </si>
  <si>
    <t>Jamban Sendiri/Bersama_2024</t>
  </si>
  <si>
    <t>Persentase Pengeluaran Makanan Per Kapita Menurut Kabupaten/Kota di Jawa Timur</t>
  </si>
  <si>
    <t>Miskin_2020</t>
  </si>
  <si>
    <t>Tidak Miskin_2020</t>
  </si>
  <si>
    <t>Penduduk_2020</t>
  </si>
  <si>
    <t>Miskin_2021</t>
  </si>
  <si>
    <t>Tidak Miskin_2021</t>
  </si>
  <si>
    <t>Penduduk_2021</t>
  </si>
  <si>
    <t>Miskin_2022</t>
  </si>
  <si>
    <t>Tidak Miskin_2022</t>
  </si>
  <si>
    <t>Penduduk_2022</t>
  </si>
  <si>
    <t>Miskin_2023</t>
  </si>
  <si>
    <t>Tidak Miskin_2023</t>
  </si>
  <si>
    <t>Penduduk_2023</t>
  </si>
  <si>
    <t>Miskin_2024</t>
  </si>
  <si>
    <t>Tidak Miskin_2024</t>
  </si>
  <si>
    <t>Penduduk_2024</t>
  </si>
  <si>
    <t>NA</t>
  </si>
  <si>
    <t>7-12_2024</t>
  </si>
  <si>
    <t>13-15_2024</t>
  </si>
  <si>
    <t>7-12_2023</t>
  </si>
  <si>
    <t>13-15_2023</t>
  </si>
  <si>
    <t>7-12_2020</t>
  </si>
  <si>
    <t>13-15_2020</t>
  </si>
  <si>
    <t>7-12_2021</t>
  </si>
  <si>
    <t>13-15_2021</t>
  </si>
  <si>
    <t>7-12_2022</t>
  </si>
  <si>
    <t>13-15_2022</t>
  </si>
  <si>
    <t>Provinsi Jawa Timur</t>
  </si>
  <si>
    <t>&lt;SD</t>
  </si>
  <si>
    <t>SD/SMP</t>
  </si>
  <si>
    <t>SMA</t>
  </si>
  <si>
    <t>7 - 12</t>
  </si>
  <si>
    <t>13 - 15</t>
  </si>
  <si>
    <t>Bekerja Informal</t>
  </si>
  <si>
    <t>Tidak Bekerja</t>
  </si>
  <si>
    <t>Bekerja Formal</t>
  </si>
  <si>
    <t>Bekerja Bukan Pertanian</t>
  </si>
  <si>
    <t>Bekerja Pertanian</t>
  </si>
  <si>
    <t>Air Layak</t>
  </si>
  <si>
    <t>Jamban Sendiri/Bersama</t>
  </si>
  <si>
    <t>Penduduk</t>
  </si>
  <si>
    <t>Tidak Miskin</t>
  </si>
  <si>
    <t>Miskin</t>
  </si>
  <si>
    <t>15-24 tahun</t>
  </si>
  <si>
    <t>15-55 tahun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</si>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</sst>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0"/>
  </numFmts>
  <fonts count="12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0"/>
      <color theme="1"/>
      <name val="Arial"/>
    </font>
    <font>
      <sz val="9"/>
      <color rgb="FF000000"/>
      <name val="Arial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33399"/>
      </left>
      <right style="thin">
        <color rgb="FF333399"/>
      </right>
      <top style="thin">
        <color rgb="FF333333"/>
      </top>
      <bottom style="thin">
        <color rgb="FF99336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4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4" fontId="3" fillId="0" borderId="0" xfId="0" applyNumberFormat="1" applyFont="1"/>
    <xf numFmtId="0" fontId="5" fillId="0" borderId="0" xfId="0" applyFont="1"/>
    <xf numFmtId="3" fontId="3" fillId="0" borderId="0" xfId="0" applyNumberFormat="1" applyFont="1"/>
    <xf numFmtId="2" fontId="3" fillId="0" borderId="0" xfId="0" applyNumberFormat="1" applyFont="1"/>
    <xf numFmtId="164" fontId="6" fillId="3" borderId="6" xfId="0" applyNumberFormat="1" applyFont="1" applyFill="1" applyBorder="1" applyAlignment="1">
      <alignment horizontal="right" vertical="top"/>
    </xf>
    <xf numFmtId="2" fontId="3" fillId="0" borderId="0" xfId="0" applyNumberFormat="1" applyFont="1" applyAlignment="1">
      <alignment horizontal="right"/>
    </xf>
    <xf numFmtId="0" fontId="3" fillId="0" borderId="0" xfId="0" applyFont="1"/>
    <xf numFmtId="2" fontId="3" fillId="2" borderId="13" xfId="0" applyNumberFormat="1" applyFont="1" applyFill="1" applyBorder="1"/>
    <xf numFmtId="2" fontId="3" fillId="2" borderId="14" xfId="0" applyNumberFormat="1" applyFont="1" applyFill="1" applyBorder="1"/>
    <xf numFmtId="4" fontId="8" fillId="0" borderId="0" xfId="0" applyNumberFormat="1" applyFont="1"/>
    <xf numFmtId="2" fontId="8" fillId="0" borderId="0" xfId="0" applyNumberFormat="1" applyFont="1"/>
    <xf numFmtId="0" fontId="9" fillId="0" borderId="0" xfId="0" applyFont="1"/>
    <xf numFmtId="2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/>
    </xf>
    <xf numFmtId="3" fontId="3" fillId="2" borderId="0" xfId="0" applyNumberFormat="1" applyFont="1" applyFill="1"/>
    <xf numFmtId="0" fontId="3" fillId="4" borderId="0" xfId="0" applyFont="1" applyFill="1" applyAlignment="1">
      <alignment horizontal="center" vertical="center"/>
    </xf>
    <xf numFmtId="3" fontId="0" fillId="0" borderId="0" xfId="0" applyNumberFormat="1"/>
    <xf numFmtId="2" fontId="3" fillId="2" borderId="0" xfId="0" applyNumberFormat="1" applyFont="1" applyFill="1"/>
    <xf numFmtId="0" fontId="0" fillId="2" borderId="0" xfId="0" applyFill="1"/>
    <xf numFmtId="4" fontId="3" fillId="2" borderId="0" xfId="0" applyNumberFormat="1" applyFont="1" applyFill="1"/>
    <xf numFmtId="4" fontId="8" fillId="2" borderId="0" xfId="0" applyNumberFormat="1" applyFont="1" applyFill="1"/>
    <xf numFmtId="2" fontId="8" fillId="2" borderId="0" xfId="0" applyNumberFormat="1" applyFont="1" applyFill="1"/>
    <xf numFmtId="49" fontId="9" fillId="0" borderId="0" xfId="0" applyNumberFormat="1" applyFont="1"/>
    <xf numFmtId="4" fontId="7" fillId="2" borderId="0" xfId="0" applyNumberFormat="1" applyFont="1" applyFill="1"/>
    <xf numFmtId="0" fontId="7" fillId="4" borderId="0" xfId="0" applyFont="1" applyFill="1" applyAlignment="1">
      <alignment horizontal="center" vertical="center"/>
    </xf>
    <xf numFmtId="2" fontId="7" fillId="2" borderId="0" xfId="0" applyNumberFormat="1" applyFont="1" applyFill="1"/>
    <xf numFmtId="2" fontId="7" fillId="2" borderId="0" xfId="0" applyNumberFormat="1" applyFont="1" applyFill="1" applyAlignment="1">
      <alignment horizontal="right"/>
    </xf>
    <xf numFmtId="2" fontId="8" fillId="2" borderId="0" xfId="0" applyNumberFormat="1" applyFont="1" applyFill="1" applyAlignment="1">
      <alignment horizontal="right"/>
    </xf>
    <xf numFmtId="4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8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</cellXfs>
  <cellStyles count="1">
    <cellStyle name="Normal" xfId="0" builtinId="0"/>
  </cellStyles>
  <dxfs count="55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8">
    <tableStyle name="Jumlah Pend Miskin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P0-style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GK-style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P1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P2-style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Gini Ratio-style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AMH Miskin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Pendidikan Tamat-style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APS Miskin-style" pivot="0" count="3" xr9:uid="{00000000-0011-0000-FFFF-FFFF08000000}">
      <tableStyleElement type="headerRow" dxfId="30"/>
      <tableStyleElement type="firstRowStripe" dxfId="29"/>
      <tableStyleElement type="secondRowStripe" dxfId="28"/>
    </tableStyle>
    <tableStyle name="Keluhan Kesehatan-style" pivot="0" count="3" xr9:uid="{00000000-0011-0000-FFFF-FFFF09000000}">
      <tableStyleElement type="headerRow" dxfId="27"/>
      <tableStyleElement type="firstRowStripe" dxfId="26"/>
      <tableStyleElement type="secondRowStripe" dxfId="25"/>
    </tableStyle>
    <tableStyle name="Kepemilikan Jamkes-style" pivot="0" count="3" xr9:uid="{00000000-0011-0000-FFFF-FFFF0A000000}">
      <tableStyleElement type="headerRow" dxfId="24"/>
      <tableStyleElement type="firstRowStripe" dxfId="23"/>
      <tableStyleElement type="secondRowStripe" dxfId="22"/>
    </tableStyle>
    <tableStyle name="Status Bekerja-style" pivot="0" count="3" xr9:uid="{00000000-0011-0000-FFFF-FFFF0B000000}">
      <tableStyleElement type="headerRow" dxfId="21"/>
      <tableStyleElement type="firstRowStripe" dxfId="20"/>
      <tableStyleElement type="secondRowStripe" dxfId="19"/>
    </tableStyle>
    <tableStyle name="Sektor Bekerja-style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Atap Layak-style" pivot="0" count="3" xr9:uid="{00000000-0011-0000-FFFF-FFFF0D000000}">
      <tableStyleElement type="headerRow" dxfId="15"/>
      <tableStyleElement type="firstRowStripe" dxfId="14"/>
      <tableStyleElement type="secondRowStripe" dxfId="13"/>
    </tableStyle>
    <tableStyle name="Dinding Layak-style" pivot="0" count="3" xr9:uid="{00000000-0011-0000-FFFF-FFFF0E000000}">
      <tableStyleElement type="headerRow" dxfId="12"/>
      <tableStyleElement type="firstRowStripe" dxfId="11"/>
      <tableStyleElement type="secondRowStripe" dxfId="10"/>
    </tableStyle>
    <tableStyle name="Lantai Layak-style" pivot="0" count="3" xr9:uid="{00000000-0011-0000-FFFF-FFFF0F000000}">
      <tableStyleElement type="headerRow" dxfId="9"/>
      <tableStyleElement type="firstRowStripe" dxfId="8"/>
      <tableStyleElement type="secondRowStripe" dxfId="7"/>
    </tableStyle>
    <tableStyle name="Air Layak dan Jamban-style" pivot="0" count="3" xr9:uid="{00000000-0011-0000-FFFF-FFFF10000000}">
      <tableStyleElement type="headerRow" dxfId="6"/>
      <tableStyleElement type="firstRowStripe" dxfId="5"/>
      <tableStyleElement type="secondRowStripe" dxfId="4"/>
    </tableStyle>
    <tableStyle name="Pengeluaran Makanan-style" pivot="0" count="3" xr9:uid="{00000000-0011-0000-FFFF-FFFF11000000}">
      <tableStyleElement type="headerRow" dxfId="3"/>
      <tableStyleElement type="firstRowStripe" dxfId="2"/>
      <tableStyleElement type="secondRowStripe" dxfId="1"/>
    </tableStyle>
  </tableStyles>
  <colors>
    <mruColors>
      <color rgb="FF9D2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GK!$H$6</c:f>
              <c:strCache>
                <c:ptCount val="1"/>
                <c:pt idx="0">
                  <c:v>Provinsi Jawa Timur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GK!$I$5:$M$5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GK!$I$6:$M$6</c:f>
              <c:numCache>
                <c:formatCode>#,##0</c:formatCode>
                <c:ptCount val="5"/>
                <c:pt idx="0">
                  <c:v>416001</c:v>
                </c:pt>
                <c:pt idx="1">
                  <c:v>429133</c:v>
                </c:pt>
                <c:pt idx="2">
                  <c:v>460909</c:v>
                </c:pt>
                <c:pt idx="3">
                  <c:v>507286</c:v>
                </c:pt>
                <c:pt idx="4">
                  <c:v>536122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8-45D9-B787-95285DBC55A2}"/>
            </c:ext>
          </c:extLst>
        </c:ser>
        <c:ser>
          <c:idx val="1"/>
          <c:order val="1"/>
          <c:tx>
            <c:strRef>
              <c:f>GK!$H$7</c:f>
              <c:strCache>
                <c:ptCount val="1"/>
                <c:pt idx="0">
                  <c:v>Kabupaten Tulungagung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GK!$I$5:$M$5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GK!$I$7:$M$7</c:f>
              <c:numCache>
                <c:formatCode>#,##0</c:formatCode>
                <c:ptCount val="5"/>
                <c:pt idx="0">
                  <c:v>362213</c:v>
                </c:pt>
                <c:pt idx="1">
                  <c:v>374183</c:v>
                </c:pt>
                <c:pt idx="2">
                  <c:v>391888</c:v>
                </c:pt>
                <c:pt idx="3">
                  <c:v>423875</c:v>
                </c:pt>
                <c:pt idx="4">
                  <c:v>447793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8-45D9-B787-95285DBC5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57984"/>
        <c:axId val="123463264"/>
      </c:lineChart>
      <c:catAx>
        <c:axId val="1234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3264"/>
        <c:crosses val="autoZero"/>
        <c:auto val="1"/>
        <c:lblAlgn val="ctr"/>
        <c:lblOffset val="100"/>
        <c:noMultiLvlLbl val="0"/>
      </c:catAx>
      <c:valAx>
        <c:axId val="1234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GK!$H$7</c:f>
              <c:strCache>
                <c:ptCount val="1"/>
                <c:pt idx="0">
                  <c:v>Kabupaten Tulungagung</c:v>
                </c:pt>
              </c:strCache>
            </c:strRef>
          </c:tx>
          <c:spPr>
            <a:ln w="28575" cap="rnd">
              <a:solidFill>
                <a:srgbClr val="9D211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D2111"/>
              </a:solidFill>
              <a:ln w="9525">
                <a:solidFill>
                  <a:srgbClr val="9D211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D211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GK!$I$5:$M$5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GK!$I$7:$M$7</c:f>
              <c:numCache>
                <c:formatCode>#,##0</c:formatCode>
                <c:ptCount val="5"/>
                <c:pt idx="0">
                  <c:v>362213</c:v>
                </c:pt>
                <c:pt idx="1">
                  <c:v>374183</c:v>
                </c:pt>
                <c:pt idx="2">
                  <c:v>391888</c:v>
                </c:pt>
                <c:pt idx="3">
                  <c:v>423875</c:v>
                </c:pt>
                <c:pt idx="4">
                  <c:v>447793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3-4C07-BB8B-33C80FBB5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221280"/>
        <c:axId val="2028222720"/>
      </c:lineChart>
      <c:catAx>
        <c:axId val="202822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9D211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222720"/>
        <c:crosses val="autoZero"/>
        <c:auto val="1"/>
        <c:lblAlgn val="ctr"/>
        <c:lblOffset val="100"/>
        <c:noMultiLvlLbl val="0"/>
      </c:catAx>
      <c:valAx>
        <c:axId val="2028222720"/>
        <c:scaling>
          <c:orientation val="minMax"/>
          <c:min val="350000"/>
        </c:scaling>
        <c:delete val="1"/>
        <c:axPos val="l"/>
        <c:numFmt formatCode="#,##0" sourceLinked="1"/>
        <c:majorTickMark val="none"/>
        <c:minorTickMark val="none"/>
        <c:tickLblPos val="nextTo"/>
        <c:crossAx val="202822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'Gini Ratio'!$B$3:$F$3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'Gini Ratio'!$B$7:$F$7</c:f>
              <c:numCache>
                <c:formatCode>#,##0.00</c:formatCode>
                <c:ptCount val="5"/>
                <c:pt idx="0">
                  <c:v>0.33600000000000002</c:v>
                </c:pt>
                <c:pt idx="1">
                  <c:v>0.32700000000000001</c:v>
                </c:pt>
                <c:pt idx="2">
                  <c:v>0.34200000000000003</c:v>
                </c:pt>
                <c:pt idx="3">
                  <c:v>0.32800000000000001</c:v>
                </c:pt>
                <c:pt idx="4">
                  <c:v>0.32100000000000001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8-45CE-911C-159E10CB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16990080"/>
        <c:axId val="116971840"/>
      </c:barChart>
      <c:catAx>
        <c:axId val="11699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1840"/>
        <c:crosses val="autoZero"/>
        <c:auto val="1"/>
        <c:lblAlgn val="ctr"/>
        <c:lblOffset val="100"/>
        <c:noMultiLvlLbl val="0"/>
      </c:catAx>
      <c:valAx>
        <c:axId val="11697184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169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'AMH Miskin'!$M$6</c:f>
              <c:strCache>
                <c:ptCount val="1"/>
                <c:pt idx="0">
                  <c:v>15-24 tahun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'AMH Miskin'!$N$5:$R$5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'AMH Miskin'!$N$6:$R$6</c:f>
              <c:numCache>
                <c:formatCode>0.00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 formatCode="#,##0.00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2-4A00-A553-D0D2F60728F9}"/>
            </c:ext>
          </c:extLst>
        </c:ser>
        <c:ser>
          <c:idx val="1"/>
          <c:order val="1"/>
          <c:tx>
            <c:strRef>
              <c:f>'AMH Miskin'!$M$7</c:f>
              <c:strCache>
                <c:ptCount val="1"/>
                <c:pt idx="0">
                  <c:v>15-55 tahun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'AMH Miskin'!$N$5:$R$5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'AMH Miskin'!$N$7:$R$7</c:f>
              <c:numCache>
                <c:formatCode>0.00</c:formatCode>
                <c:ptCount val="5"/>
                <c:pt idx="0" formatCode="#,##0.00">
                  <c:v>100</c:v>
                </c:pt>
                <c:pt idx="1">
                  <c:v>99.37</c:v>
                </c:pt>
                <c:pt idx="2">
                  <c:v>100</c:v>
                </c:pt>
                <c:pt idx="3" formatCode="#,##0.00">
                  <c:v>100</c:v>
                </c:pt>
                <c:pt idx="4" formatCode="#,##0.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2-4A00-A553-D0D2F6072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5"/>
        <c:axId val="94807328"/>
        <c:axId val="94808768"/>
      </c:barChart>
      <c:catAx>
        <c:axId val="9480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08768"/>
        <c:crosses val="autoZero"/>
        <c:auto val="1"/>
        <c:lblAlgn val="ctr"/>
        <c:lblOffset val="100"/>
        <c:noMultiLvlLbl val="0"/>
      </c:catAx>
      <c:valAx>
        <c:axId val="94808768"/>
        <c:scaling>
          <c:orientation val="minMax"/>
          <c:max val="105"/>
          <c:min val="0"/>
        </c:scaling>
        <c:delete val="1"/>
        <c:axPos val="l"/>
        <c:numFmt formatCode="0.00" sourceLinked="1"/>
        <c:majorTickMark val="none"/>
        <c:minorTickMark val="none"/>
        <c:tickLblPos val="nextTo"/>
        <c:crossAx val="9480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'Pendidikan Tamat'!$R$5</c:f>
              <c:strCache>
                <c:ptCount val="1"/>
                <c:pt idx="0">
                  <c:v>&lt;SD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'Pendidikan Tamat'!$S$4:$W$4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'Pendidikan Tamat'!$S$5:$W$5</c:f>
              <c:numCache>
                <c:formatCode>0.00</c:formatCode>
                <c:ptCount val="5"/>
                <c:pt idx="0">
                  <c:v>11.63</c:v>
                </c:pt>
                <c:pt idx="1">
                  <c:v>22.43</c:v>
                </c:pt>
                <c:pt idx="2">
                  <c:v>16.25</c:v>
                </c:pt>
                <c:pt idx="3">
                  <c:v>8.82</c:v>
                </c:pt>
                <c:pt idx="4" formatCode="#,##0.00">
                  <c:v>14.78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D-4F46-A556-07331F72C99A}"/>
            </c:ext>
          </c:extLst>
        </c:ser>
        <c:ser>
          <c:idx val="1"/>
          <c:order val="1"/>
          <c:tx>
            <c:strRef>
              <c:f>'Pendidikan Tamat'!$R$6</c:f>
              <c:strCache>
                <c:ptCount val="1"/>
                <c:pt idx="0">
                  <c:v>SD/SMP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'Pendidikan Tamat'!$S$4:$W$4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'Pendidikan Tamat'!$S$6:$W$6</c:f>
              <c:numCache>
                <c:formatCode>#,##0.00</c:formatCode>
                <c:ptCount val="5"/>
                <c:pt idx="0" formatCode="General">
                  <c:v>62.99</c:v>
                </c:pt>
                <c:pt idx="1">
                  <c:v>51.36</c:v>
                </c:pt>
                <c:pt idx="2">
                  <c:v>57.69</c:v>
                </c:pt>
                <c:pt idx="3" formatCode="0.00">
                  <c:v>71.27</c:v>
                </c:pt>
                <c:pt idx="4">
                  <c:v>57.59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D-4F46-A556-07331F72C99A}"/>
            </c:ext>
          </c:extLst>
        </c:ser>
        <c:ser>
          <c:idx val="2"/>
          <c:order val="2"/>
          <c:tx>
            <c:strRef>
              <c:f>'Pendidikan Tamat'!$R$7</c:f>
              <c:strCache>
                <c:ptCount val="1"/>
                <c:pt idx="0">
                  <c:v>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'Pendidikan Tamat'!$S$4:$W$4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'Pendidikan Tamat'!$S$7:$W$7</c:f>
              <c:numCache>
                <c:formatCode>#,##0.00</c:formatCode>
                <c:ptCount val="5"/>
                <c:pt idx="0">
                  <c:v>25.38</c:v>
                </c:pt>
                <c:pt idx="1">
                  <c:v>26.21</c:v>
                </c:pt>
                <c:pt idx="2">
                  <c:v>26.06</c:v>
                </c:pt>
                <c:pt idx="3" formatCode="0.00">
                  <c:v>19.91</c:v>
                </c:pt>
                <c:pt idx="4">
                  <c:v>27.63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D-4F46-A556-07331F72C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74240"/>
        <c:axId val="116974720"/>
      </c:lineChart>
      <c:catAx>
        <c:axId val="1169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4720"/>
        <c:crosses val="autoZero"/>
        <c:auto val="1"/>
        <c:lblAlgn val="ctr"/>
        <c:lblOffset val="100"/>
        <c:noMultiLvlLbl val="0"/>
      </c:catAx>
      <c:valAx>
        <c:axId val="116974720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'Pendidikan Tamat'!$R$5</c:f>
              <c:strCache>
                <c:ptCount val="1"/>
                <c:pt idx="0">
                  <c:v>&lt;SD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'Pendidikan Tamat'!$S$4:$W$4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'Pendidikan Tamat'!$S$5:$W$5</c:f>
              <c:numCache>
                <c:formatCode>0.00</c:formatCode>
                <c:ptCount val="5"/>
                <c:pt idx="0">
                  <c:v>11.63</c:v>
                </c:pt>
                <c:pt idx="1">
                  <c:v>22.43</c:v>
                </c:pt>
                <c:pt idx="2">
                  <c:v>16.25</c:v>
                </c:pt>
                <c:pt idx="3">
                  <c:v>8.82</c:v>
                </c:pt>
                <c:pt idx="4" formatCode="#,##0.00">
                  <c:v>14.78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B-47DA-9958-B763ED853978}"/>
            </c:ext>
          </c:extLst>
        </c:ser>
        <c:ser>
          <c:idx val="1"/>
          <c:order val="1"/>
          <c:tx>
            <c:strRef>
              <c:f>'Pendidikan Tamat'!$R$6</c:f>
              <c:strCache>
                <c:ptCount val="1"/>
                <c:pt idx="0">
                  <c:v>SD/SMP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D211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'Pendidikan Tamat'!$S$4:$W$4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'Pendidikan Tamat'!$S$6:$W$6</c:f>
              <c:numCache>
                <c:formatCode>#,##0.00</c:formatCode>
                <c:ptCount val="5"/>
                <c:pt idx="0" formatCode="General">
                  <c:v>62.99</c:v>
                </c:pt>
                <c:pt idx="1">
                  <c:v>51.36</c:v>
                </c:pt>
                <c:pt idx="2">
                  <c:v>57.69</c:v>
                </c:pt>
                <c:pt idx="3" formatCode="0.00">
                  <c:v>71.27</c:v>
                </c:pt>
                <c:pt idx="4">
                  <c:v>57.59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B-47DA-9958-B763ED853978}"/>
            </c:ext>
          </c:extLst>
        </c:ser>
        <c:ser>
          <c:idx val="2"/>
          <c:order val="2"/>
          <c:tx>
            <c:strRef>
              <c:f>'Pendidikan Tamat'!$R$7</c:f>
              <c:strCache>
                <c:ptCount val="1"/>
                <c:pt idx="0">
                  <c:v>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'Pendidikan Tamat'!$S$4:$W$4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'Pendidikan Tamat'!$S$7:$W$7</c:f>
              <c:numCache>
                <c:formatCode>#,##0.00</c:formatCode>
                <c:ptCount val="5"/>
                <c:pt idx="0">
                  <c:v>25.38</c:v>
                </c:pt>
                <c:pt idx="1">
                  <c:v>26.21</c:v>
                </c:pt>
                <c:pt idx="2">
                  <c:v>26.06</c:v>
                </c:pt>
                <c:pt idx="3" formatCode="0.00">
                  <c:v>19.91</c:v>
                </c:pt>
                <c:pt idx="4">
                  <c:v>27.63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8B-47DA-9958-B763ED853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74240"/>
        <c:axId val="116974720"/>
      </c:lineChart>
      <c:catAx>
        <c:axId val="1169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4720"/>
        <c:crosses val="autoZero"/>
        <c:auto val="1"/>
        <c:lblAlgn val="ctr"/>
        <c:lblOffset val="100"/>
        <c:noMultiLvlLbl val="0"/>
      </c:catAx>
      <c:valAx>
        <c:axId val="116974720"/>
        <c:scaling>
          <c:orientation val="minMax"/>
          <c:max val="80"/>
          <c:min val="0"/>
        </c:scaling>
        <c:delete val="1"/>
        <c:axPos val="l"/>
        <c:numFmt formatCode="0.00" sourceLinked="1"/>
        <c:majorTickMark val="none"/>
        <c:minorTickMark val="none"/>
        <c:tickLblPos val="nextTo"/>
        <c:crossAx val="11697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Miskin'!$M$5</c:f>
              <c:strCache>
                <c:ptCount val="1"/>
                <c:pt idx="0">
                  <c:v>7 - 12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'APS Miskin'!$N$4:$R$4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'APS Miskin'!$N$5:$R$5</c:f>
              <c:numCache>
                <c:formatCode>0.00</c:formatCode>
                <c:ptCount val="5"/>
                <c:pt idx="0">
                  <c:v>100</c:v>
                </c:pt>
                <c:pt idx="1">
                  <c:v>97.29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1-41EE-8618-3576B98F5185}"/>
            </c:ext>
          </c:extLst>
        </c:ser>
        <c:ser>
          <c:idx val="1"/>
          <c:order val="1"/>
          <c:tx>
            <c:strRef>
              <c:f>'APS Miskin'!$M$6</c:f>
              <c:strCache>
                <c:ptCount val="1"/>
                <c:pt idx="0">
                  <c:v>13 - 15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'APS Miskin'!$N$4:$R$4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'APS Miskin'!$N$6:$R$6</c:f>
              <c:numCache>
                <c:formatCode>0.00</c:formatCode>
                <c:ptCount val="5"/>
                <c:pt idx="0" formatCode="#,##0.0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91.59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C1-41EE-8618-3576B98F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6932960"/>
        <c:axId val="116961280"/>
      </c:barChart>
      <c:catAx>
        <c:axId val="1169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1280"/>
        <c:crosses val="autoZero"/>
        <c:auto val="1"/>
        <c:lblAlgn val="ctr"/>
        <c:lblOffset val="100"/>
        <c:noMultiLvlLbl val="0"/>
      </c:catAx>
      <c:valAx>
        <c:axId val="116961280"/>
        <c:scaling>
          <c:orientation val="minMax"/>
          <c:max val="100"/>
          <c:min val="0"/>
        </c:scaling>
        <c:delete val="1"/>
        <c:axPos val="l"/>
        <c:numFmt formatCode="0.00" sourceLinked="1"/>
        <c:majorTickMark val="none"/>
        <c:minorTickMark val="none"/>
        <c:tickLblPos val="nextTo"/>
        <c:crossAx val="1169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FD-40EA-894E-C0A5BBD8FB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FD-40EA-894E-C0A5BBD8FB7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Ya</a:t>
                    </a:r>
                  </a:p>
                  <a:p>
                    <a:fld id="{1D184AFB-A9F7-456A-945A-E7A605196D3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>
                        <a:solidFill>
                          <a:schemeClr val="bg1"/>
                        </a:solidFill>
                      </a:rPr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9FD-40EA-894E-C0A5BBD8FB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Tidak</a:t>
                    </a:r>
                  </a:p>
                  <a:p>
                    <a:fld id="{C48F8951-50F5-4548-990C-28CA6D039050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>
                        <a:solidFill>
                          <a:schemeClr val="bg1"/>
                        </a:solidFill>
                      </a:rPr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9FD-40EA-894E-C0A5BBD8FB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'Keluhan Kesehatan'!$F$6:$G$6</c:f>
              <c:strCache>
                <c:ptCount val="2"/>
                <c:pt idx="0">
                  <c:v>Ya</c:v>
                </c:pt>
                <c:pt idx="1">
                  <c:v>Tidak</c:v>
                </c:pt>
              </c:strCache>
            </c:strRef>
          </c:cat>
          <c:val>
            <c:numRef>
              <c:f>'Keluhan Kesehatan'!$F$7:$G$7</c:f>
              <c:numCache>
                <c:formatCode>#,##0.00</c:formatCode>
                <c:ptCount val="2"/>
                <c:pt idx="0">
                  <c:v>16.52</c:v>
                </c:pt>
                <c:pt idx="1">
                  <c:v>83.48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D-40EA-894E-C0A5BBD8F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Bekerja'!$R$7</c:f>
              <c:strCache>
                <c:ptCount val="1"/>
                <c:pt idx="0">
                  <c:v>Bekerja Informal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'Status Bekerja'!$S$5:$W$5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'Status Bekerja'!$S$6:$W$6</c:f>
              <c:numCache>
                <c:formatCode>0.00</c:formatCode>
                <c:ptCount val="5"/>
                <c:pt idx="0">
                  <c:v>39.53</c:v>
                </c:pt>
                <c:pt idx="1">
                  <c:v>42.76</c:v>
                </c:pt>
                <c:pt idx="2">
                  <c:v>34.92</c:v>
                </c:pt>
                <c:pt idx="3">
                  <c:v>32.549999999999997</c:v>
                </c:pt>
                <c:pt idx="4">
                  <c:v>39.049999999999997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F-44D4-8984-D6D15E92B42A}"/>
            </c:ext>
          </c:extLst>
        </c:ser>
        <c:ser>
          <c:idx val="1"/>
          <c:order val="1"/>
          <c:tx>
            <c:strRef>
              <c:f>'Status Bekerja'!$R$6</c:f>
              <c:strCache>
                <c:ptCount val="1"/>
                <c:pt idx="0">
                  <c:v>Tidak Bekerja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'Status Bekerja'!$S$5:$W$5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'Status Bekerja'!$S$7:$W$7</c:f>
              <c:numCache>
                <c:formatCode>0.00</c:formatCode>
                <c:ptCount val="5"/>
                <c:pt idx="0">
                  <c:v>35.32</c:v>
                </c:pt>
                <c:pt idx="1">
                  <c:v>37.76</c:v>
                </c:pt>
                <c:pt idx="2">
                  <c:v>46.56</c:v>
                </c:pt>
                <c:pt idx="3">
                  <c:v>55.45</c:v>
                </c:pt>
                <c:pt idx="4">
                  <c:v>44.38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F-44D4-8984-D6D15E92B42A}"/>
            </c:ext>
          </c:extLst>
        </c:ser>
        <c:ser>
          <c:idx val="2"/>
          <c:order val="2"/>
          <c:tx>
            <c:strRef>
              <c:f>'Status Bekerja'!$R$8</c:f>
              <c:strCache>
                <c:ptCount val="1"/>
                <c:pt idx="0">
                  <c:v>Bekerja Formal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'Status Bekerja'!$S$5:$W$5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'Status Bekerja'!$S$8:$W$8</c:f>
              <c:numCache>
                <c:formatCode>0.00</c:formatCode>
                <c:ptCount val="5"/>
                <c:pt idx="0">
                  <c:v>25.15</c:v>
                </c:pt>
                <c:pt idx="1">
                  <c:v>19.48</c:v>
                </c:pt>
                <c:pt idx="2">
                  <c:v>18.52</c:v>
                </c:pt>
                <c:pt idx="3">
                  <c:v>12</c:v>
                </c:pt>
                <c:pt idx="4">
                  <c:v>16.57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BF-44D4-8984-D6D15E92B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5"/>
        <c:axId val="255967712"/>
        <c:axId val="255968192"/>
      </c:barChart>
      <c:catAx>
        <c:axId val="25596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968192"/>
        <c:crosses val="autoZero"/>
        <c:auto val="1"/>
        <c:lblAlgn val="ctr"/>
        <c:lblOffset val="100"/>
        <c:noMultiLvlLbl val="0"/>
      </c:catAx>
      <c:valAx>
        <c:axId val="25596819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5596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Bekerja'!$R$6:$R$8</c:f>
              <c:strCache>
                <c:ptCount val="3"/>
                <c:pt idx="0">
                  <c:v>Tidak Bekerja</c:v>
                </c:pt>
                <c:pt idx="1">
                  <c:v>Bekerja Informal</c:v>
                </c:pt>
                <c:pt idx="2">
                  <c:v>Bekerja Formal</c:v>
                </c:pt>
              </c:strCache>
            </c:strRef>
          </c:cat>
          <c:val>
            <c:numRef>
              <c:f>'Status Bekerja'!$W$6:$W$8</c:f>
              <c:numCache>
                <c:formatCode>0.00</c:formatCode>
                <c:ptCount val="3"/>
                <c:pt idx="0">
                  <c:v>39.049999999999997</c:v>
                </c:pt>
                <c:pt idx="1">
                  <c:v>44.38</c:v>
                </c:pt>
                <c:pt idx="2">
                  <c:v>16.57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8-4096-B0D8-54FC55AAB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37712"/>
        <c:axId val="77827472"/>
      </c:barChart>
      <c:catAx>
        <c:axId val="12313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7472"/>
        <c:crosses val="autoZero"/>
        <c:auto val="1"/>
        <c:lblAlgn val="ctr"/>
        <c:lblOffset val="100"/>
        <c:noMultiLvlLbl val="0"/>
      </c:catAx>
      <c:valAx>
        <c:axId val="7782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3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Bekerja'!$R$7</c:f>
              <c:strCache>
                <c:ptCount val="1"/>
                <c:pt idx="0">
                  <c:v>Bekerja Informal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'Status Bekerja'!$S$5:$W$5</c15:sqref>
                  </c15:fullRef>
                </c:ext>
              </c:extLst>
              <c:f>'Status Bekerja'!$W$5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'Status Bekerja'!$S$6:$W$6</c15:sqref>
                  </c15:fullRef>
                </c:ext>
              </c:extLst>
              <c:f>'Status Bekerja'!$W$6</c:f>
              <c:numCache>
                <c:formatCode>0.00</c:formatCode>
                <c:ptCount val="1"/>
                <c:pt idx="0">
                  <c:v>39.049999999999997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1-4497-A1BD-F301CFFCEEA5}"/>
            </c:ext>
          </c:extLst>
        </c:ser>
        <c:ser>
          <c:idx val="1"/>
          <c:order val="1"/>
          <c:tx>
            <c:strRef>
              <c:f>'Status Bekerja'!$R$6</c:f>
              <c:strCache>
                <c:ptCount val="1"/>
                <c:pt idx="0">
                  <c:v>Tidak Bekerja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'Status Bekerja'!$S$5:$W$5</c15:sqref>
                  </c15:fullRef>
                </c:ext>
              </c:extLst>
              <c:f>'Status Bekerja'!$W$5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'Status Bekerja'!$S$7:$W$7</c15:sqref>
                  </c15:fullRef>
                </c:ext>
              </c:extLst>
              <c:f>'Status Bekerja'!$W$7</c:f>
              <c:numCache>
                <c:formatCode>0.00</c:formatCode>
                <c:ptCount val="1"/>
                <c:pt idx="0">
                  <c:v>44.38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1-4497-A1BD-F301CFFCEEA5}"/>
            </c:ext>
          </c:extLst>
        </c:ser>
        <c:ser>
          <c:idx val="2"/>
          <c:order val="2"/>
          <c:tx>
            <c:strRef>
              <c:f>'Status Bekerja'!$R$8</c:f>
              <c:strCache>
                <c:ptCount val="1"/>
                <c:pt idx="0">
                  <c:v>Bekerja Formal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'Status Bekerja'!$S$5:$W$5</c15:sqref>
                  </c15:fullRef>
                </c:ext>
              </c:extLst>
              <c:f>'Status Bekerja'!$W$5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'Status Bekerja'!$S$8:$W$8</c15:sqref>
                  </c15:fullRef>
                </c:ext>
              </c:extLst>
              <c:f>'Status Bekerja'!$W$8</c:f>
              <c:numCache>
                <c:formatCode>0.00</c:formatCode>
                <c:ptCount val="1"/>
                <c:pt idx="0">
                  <c:v>16.57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F1-4497-A1BD-F301CFFCE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"/>
        <c:axId val="255967712"/>
        <c:axId val="255968192"/>
      </c:barChart>
      <c:catAx>
        <c:axId val="255967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5968192"/>
        <c:crosses val="autoZero"/>
        <c:auto val="1"/>
        <c:lblAlgn val="ctr"/>
        <c:lblOffset val="100"/>
        <c:noMultiLvlLbl val="0"/>
      </c:catAx>
      <c:valAx>
        <c:axId val="25596819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5596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2731697819314645"/>
          <c:w val="1"/>
          <c:h val="0.20331668224551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'Sektor Bekerja'!$R$6</c:f>
              <c:strCache>
                <c:ptCount val="1"/>
                <c:pt idx="0">
                  <c:v>Tidak Bekerja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'Sektor Bekerja'!$S$5:$W$5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'Sektor Bekerja'!$S$6:$W$6</c:f>
              <c:numCache>
                <c:formatCode>0.00</c:formatCode>
                <c:ptCount val="5"/>
                <c:pt idx="0">
                  <c:v>39.53</c:v>
                </c:pt>
                <c:pt idx="1">
                  <c:v>42.76</c:v>
                </c:pt>
                <c:pt idx="2">
                  <c:v>34.92</c:v>
                </c:pt>
                <c:pt idx="3">
                  <c:v>32.549999999999997</c:v>
                </c:pt>
                <c:pt idx="4">
                  <c:v>39.049999999999997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C-43CA-B7FB-696F14A0EE50}"/>
            </c:ext>
          </c:extLst>
        </c:ser>
        <c:ser>
          <c:idx val="1"/>
          <c:order val="1"/>
          <c:tx>
            <c:strRef>
              <c:f>'Sektor Bekerja'!$R$7</c:f>
              <c:strCache>
                <c:ptCount val="1"/>
                <c:pt idx="0">
                  <c:v>Bekerja Pertanian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'Sektor Bekerja'!$S$5:$W$5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'Sektor Bekerja'!$S$7:$W$7</c:f>
              <c:numCache>
                <c:formatCode>0.00</c:formatCode>
                <c:ptCount val="5"/>
                <c:pt idx="0">
                  <c:v>15.81</c:v>
                </c:pt>
                <c:pt idx="1">
                  <c:v>28.51</c:v>
                </c:pt>
                <c:pt idx="2">
                  <c:v>31.81</c:v>
                </c:pt>
                <c:pt idx="3">
                  <c:v>40.08</c:v>
                </c:pt>
                <c:pt idx="4">
                  <c:v>38.299999999999997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C-43CA-B7FB-696F14A0EE50}"/>
            </c:ext>
          </c:extLst>
        </c:ser>
        <c:ser>
          <c:idx val="2"/>
          <c:order val="2"/>
          <c:tx>
            <c:strRef>
              <c:f>'Sektor Bekerja'!$R$8</c:f>
              <c:strCache>
                <c:ptCount val="1"/>
                <c:pt idx="0">
                  <c:v>Bekerja Bukan Pertanian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'Sektor Bekerja'!$S$5:$W$5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'Sektor Bekerja'!$S$8:$W$8</c:f>
              <c:numCache>
                <c:formatCode>0.00</c:formatCode>
                <c:ptCount val="5"/>
                <c:pt idx="0">
                  <c:v>44.65</c:v>
                </c:pt>
                <c:pt idx="1">
                  <c:v>28.73</c:v>
                </c:pt>
                <c:pt idx="2">
                  <c:v>33.270000000000003</c:v>
                </c:pt>
                <c:pt idx="3">
                  <c:v>27.37</c:v>
                </c:pt>
                <c:pt idx="4">
                  <c:v>22.65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BC-43CA-B7FB-696F14A0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365520"/>
        <c:axId val="181421216"/>
      </c:barChart>
      <c:catAx>
        <c:axId val="3933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21216"/>
        <c:crosses val="autoZero"/>
        <c:auto val="1"/>
        <c:lblAlgn val="ctr"/>
        <c:lblOffset val="100"/>
        <c:noMultiLvlLbl val="0"/>
      </c:catAx>
      <c:valAx>
        <c:axId val="181421216"/>
        <c:scaling>
          <c:orientation val="minMax"/>
          <c:max val="45"/>
        </c:scaling>
        <c:delete val="1"/>
        <c:axPos val="l"/>
        <c:numFmt formatCode="0.00" sourceLinked="1"/>
        <c:majorTickMark val="none"/>
        <c:minorTickMark val="none"/>
        <c:tickLblPos val="nextTo"/>
        <c:crossAx val="3933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'Sektor Bekerja'!$R$6</c:f>
              <c:strCache>
                <c:ptCount val="1"/>
                <c:pt idx="0">
                  <c:v>Tidak Bekerja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'Sektor Bekerja'!$S$5:$W$5</c15:sqref>
                  </c15:fullRef>
                </c:ext>
              </c:extLst>
              <c:f>'Sektor Bekerja'!$W$5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'Sektor Bekerja'!$S$6:$W$6</c15:sqref>
                  </c15:fullRef>
                </c:ext>
              </c:extLst>
              <c:f>'Sektor Bekerja'!$W$6</c:f>
              <c:numCache>
                <c:formatCode>0.00</c:formatCode>
                <c:ptCount val="1"/>
                <c:pt idx="0">
                  <c:v>39.049999999999997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F44-83DA-8ED890EEB8FA}"/>
            </c:ext>
          </c:extLst>
        </c:ser>
        <c:ser>
          <c:idx val="1"/>
          <c:order val="1"/>
          <c:tx>
            <c:strRef>
              <c:f>'Sektor Bekerja'!$R$7</c:f>
              <c:strCache>
                <c:ptCount val="1"/>
                <c:pt idx="0">
                  <c:v>Bekerja Pertanian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'Sektor Bekerja'!$S$5:$W$5</c15:sqref>
                  </c15:fullRef>
                </c:ext>
              </c:extLst>
              <c:f>'Sektor Bekerja'!$W$5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'Sektor Bekerja'!$S$7:$W$7</c15:sqref>
                  </c15:fullRef>
                </c:ext>
              </c:extLst>
              <c:f>'Sektor Bekerja'!$W$7</c:f>
              <c:numCache>
                <c:formatCode>0.00</c:formatCode>
                <c:ptCount val="1"/>
                <c:pt idx="0">
                  <c:v>38.299999999999997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F44-83DA-8ED890EEB8FA}"/>
            </c:ext>
          </c:extLst>
        </c:ser>
        <c:ser>
          <c:idx val="2"/>
          <c:order val="2"/>
          <c:tx>
            <c:strRef>
              <c:f>'Sektor Bekerja'!$R$8</c:f>
              <c:strCache>
                <c:ptCount val="1"/>
                <c:pt idx="0">
                  <c:v>Bekerja Bukan Pertanian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'Sektor Bekerja'!$S$5:$W$5</c15:sqref>
                  </c15:fullRef>
                </c:ext>
              </c:extLst>
              <c:f>'Sektor Bekerja'!$W$5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'Sektor Bekerja'!$S$8:$W$8</c15:sqref>
                  </c15:fullRef>
                </c:ext>
              </c:extLst>
              <c:f>'Sektor Bekerja'!$W$8</c:f>
              <c:numCache>
                <c:formatCode>0.00</c:formatCode>
                <c:ptCount val="1"/>
                <c:pt idx="0">
                  <c:v>22.65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F44-83DA-8ED890EEB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"/>
        <c:axId val="393365520"/>
        <c:axId val="181421216"/>
      </c:barChart>
      <c:catAx>
        <c:axId val="393365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421216"/>
        <c:crosses val="autoZero"/>
        <c:auto val="1"/>
        <c:lblAlgn val="ctr"/>
        <c:lblOffset val="100"/>
        <c:noMultiLvlLbl val="0"/>
      </c:catAx>
      <c:valAx>
        <c:axId val="181421216"/>
        <c:scaling>
          <c:orientation val="minMax"/>
          <c:max val="45"/>
        </c:scaling>
        <c:delete val="1"/>
        <c:axPos val="l"/>
        <c:numFmt formatCode="0.00" sourceLinked="1"/>
        <c:majorTickMark val="none"/>
        <c:minorTickMark val="none"/>
        <c:tickLblPos val="nextTo"/>
        <c:crossAx val="3933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242283674905875E-3"/>
          <c:y val="0.65906414692988646"/>
          <c:w val="0.99707577163250938"/>
          <c:h val="0.30382742731472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'Atap Layak'!$H$6:$L$6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'Atap Layak'!$H$7:$L$7</c:f>
              <c:numCache>
                <c:formatCode>#,##0.00</c:formatCode>
                <c:ptCount val="5"/>
                <c:pt idx="0">
                  <c:v>97.36</c:v>
                </c:pt>
                <c:pt idx="1">
                  <c:v>98.88</c:v>
                </c:pt>
                <c:pt idx="2">
                  <c:v>96.67</c:v>
                </c:pt>
                <c:pt idx="3">
                  <c:v>88.84</c:v>
                </c:pt>
                <c:pt idx="4">
                  <c:v>89.13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4-457F-9C55-36E482C8E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16961760"/>
        <c:axId val="116943040"/>
      </c:barChart>
      <c:catAx>
        <c:axId val="1169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43040"/>
        <c:crosses val="autoZero"/>
        <c:auto val="1"/>
        <c:lblAlgn val="ctr"/>
        <c:lblOffset val="100"/>
        <c:noMultiLvlLbl val="0"/>
      </c:catAx>
      <c:valAx>
        <c:axId val="116943040"/>
        <c:scaling>
          <c:orientation val="minMax"/>
          <c:max val="100"/>
          <c:min val="0"/>
        </c:scaling>
        <c:delete val="1"/>
        <c:axPos val="l"/>
        <c:numFmt formatCode="#,##0.00" sourceLinked="1"/>
        <c:majorTickMark val="none"/>
        <c:minorTickMark val="none"/>
        <c:tickLblPos val="nextTo"/>
        <c:crossAx val="11696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'Dinding Layak'!$H$6:$L$6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'Dinding Layak'!$H$7:$L$7</c:f>
              <c:numCache>
                <c:formatCode>#,##0.00</c:formatCode>
                <c:ptCount val="5"/>
                <c:pt idx="0">
                  <c:v>93.87</c:v>
                </c:pt>
                <c:pt idx="1">
                  <c:v>97.47</c:v>
                </c:pt>
                <c:pt idx="2">
                  <c:v>97.04</c:v>
                </c:pt>
                <c:pt idx="3">
                  <c:v>100</c:v>
                </c:pt>
                <c:pt idx="4">
                  <c:v>94.16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2-45E3-A22C-9F84B5BC8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16954560"/>
        <c:axId val="116953120"/>
      </c:barChart>
      <c:catAx>
        <c:axId val="11695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120"/>
        <c:crosses val="autoZero"/>
        <c:auto val="1"/>
        <c:lblAlgn val="ctr"/>
        <c:lblOffset val="100"/>
        <c:noMultiLvlLbl val="0"/>
      </c:catAx>
      <c:valAx>
        <c:axId val="116953120"/>
        <c:scaling>
          <c:orientation val="minMax"/>
          <c:max val="105"/>
          <c:min val="0"/>
        </c:scaling>
        <c:delete val="1"/>
        <c:axPos val="l"/>
        <c:numFmt formatCode="#,##0.00" sourceLinked="1"/>
        <c:majorTickMark val="none"/>
        <c:minorTickMark val="none"/>
        <c:tickLblPos val="nextTo"/>
        <c:crossAx val="116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'Lantai Layak'!$H$6:$L$6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'Lantai Layak'!$H$7:$L$7</c:f>
              <c:numCache>
                <c:formatCode>#,##0.00</c:formatCode>
                <c:ptCount val="5"/>
                <c:pt idx="0">
                  <c:v>92.53</c:v>
                </c:pt>
                <c:pt idx="1">
                  <c:v>87.8</c:v>
                </c:pt>
                <c:pt idx="2">
                  <c:v>95.42</c:v>
                </c:pt>
                <c:pt idx="3">
                  <c:v>95.54</c:v>
                </c:pt>
                <c:pt idx="4">
                  <c:v>89.48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F-4137-9724-197A5AC9B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617248"/>
        <c:axId val="306615808"/>
      </c:barChart>
      <c:catAx>
        <c:axId val="3066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15808"/>
        <c:crosses val="autoZero"/>
        <c:auto val="1"/>
        <c:lblAlgn val="ctr"/>
        <c:lblOffset val="100"/>
        <c:noMultiLvlLbl val="0"/>
      </c:catAx>
      <c:valAx>
        <c:axId val="306615808"/>
        <c:scaling>
          <c:orientation val="minMax"/>
          <c:max val="97"/>
          <c:min val="0"/>
        </c:scaling>
        <c:delete val="1"/>
        <c:axPos val="l"/>
        <c:numFmt formatCode="#,##0.00" sourceLinked="1"/>
        <c:majorTickMark val="none"/>
        <c:minorTickMark val="none"/>
        <c:tickLblPos val="nextTo"/>
        <c:crossAx val="30661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'Air Layak dan Jamban'!$M$7</c:f>
              <c:strCache>
                <c:ptCount val="1"/>
                <c:pt idx="0">
                  <c:v>Air Layak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'Air Layak dan Jamban'!$N$6:$R$6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'Air Layak dan Jamban'!$N$7:$R$7</c:f>
              <c:numCache>
                <c:formatCode>0.00</c:formatCode>
                <c:ptCount val="5"/>
                <c:pt idx="0">
                  <c:v>52.72</c:v>
                </c:pt>
                <c:pt idx="1">
                  <c:v>86.62</c:v>
                </c:pt>
                <c:pt idx="2">
                  <c:v>97.85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5-44A6-8346-E07C63267049}"/>
            </c:ext>
          </c:extLst>
        </c:ser>
        <c:ser>
          <c:idx val="1"/>
          <c:order val="1"/>
          <c:tx>
            <c:strRef>
              <c:f>'Air Layak dan Jamban'!$M$8</c:f>
              <c:strCache>
                <c:ptCount val="1"/>
                <c:pt idx="0">
                  <c:v>Jamban Sendiri/Bersama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'Air Layak dan Jamban'!$N$6:$R$6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'Air Layak dan Jamban'!$N$8:$R$8</c:f>
              <c:numCache>
                <c:formatCode>0.00</c:formatCode>
                <c:ptCount val="5"/>
                <c:pt idx="0">
                  <c:v>98.71</c:v>
                </c:pt>
                <c:pt idx="1">
                  <c:v>85.47</c:v>
                </c:pt>
                <c:pt idx="2">
                  <c:v>86.34</c:v>
                </c:pt>
                <c:pt idx="3">
                  <c:v>90.97</c:v>
                </c:pt>
                <c:pt idx="4">
                  <c:v>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5-44A6-8346-E07C63267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615328"/>
        <c:axId val="306618208"/>
      </c:lineChart>
      <c:catAx>
        <c:axId val="30661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18208"/>
        <c:crosses val="autoZero"/>
        <c:auto val="1"/>
        <c:lblAlgn val="ctr"/>
        <c:lblOffset val="100"/>
        <c:noMultiLvlLbl val="0"/>
      </c:catAx>
      <c:valAx>
        <c:axId val="3066182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153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'Pengeluaran Makanan'!$R$5</c:f>
              <c:strCache>
                <c:ptCount val="1"/>
                <c:pt idx="0">
                  <c:v>Miskin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'Pengeluaran Makanan'!$S$4:$W$4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'Pengeluaran Makanan'!$S$5:$W$5</c:f>
              <c:numCache>
                <c:formatCode>0.00</c:formatCode>
                <c:ptCount val="5"/>
                <c:pt idx="0">
                  <c:v>66.680000000000007</c:v>
                </c:pt>
                <c:pt idx="1">
                  <c:v>65.56</c:v>
                </c:pt>
                <c:pt idx="2">
                  <c:v>64.69</c:v>
                </c:pt>
                <c:pt idx="3">
                  <c:v>60.99</c:v>
                </c:pt>
                <c:pt idx="4">
                  <c:v>61.57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3-4C39-84F7-0B392D1292CE}"/>
            </c:ext>
          </c:extLst>
        </c:ser>
        <c:ser>
          <c:idx val="1"/>
          <c:order val="1"/>
          <c:tx>
            <c:strRef>
              <c:f>'Pengeluaran Makanan'!$R$6</c:f>
              <c:strCache>
                <c:ptCount val="1"/>
                <c:pt idx="0">
                  <c:v>Tidak Miskin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'Pengeluaran Makanan'!$S$4:$W$4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'Pengeluaran Makanan'!$S$6:$W$6</c:f>
              <c:numCache>
                <c:formatCode>#,##0.00</c:formatCode>
                <c:ptCount val="5"/>
                <c:pt idx="0" formatCode="0.00">
                  <c:v>54.62</c:v>
                </c:pt>
                <c:pt idx="1">
                  <c:v>55.18</c:v>
                </c:pt>
                <c:pt idx="2">
                  <c:v>55.66</c:v>
                </c:pt>
                <c:pt idx="3" formatCode="0.00">
                  <c:v>50.15</c:v>
                </c:pt>
                <c:pt idx="4" formatCode="0.00">
                  <c:v>51.82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3-4C39-84F7-0B392D1292CE}"/>
            </c:ext>
          </c:extLst>
        </c:ser>
        <c:ser>
          <c:idx val="2"/>
          <c:order val="2"/>
          <c:tx>
            <c:strRef>
              <c:f>'Pengeluaran Makanan'!$R$7</c:f>
              <c:strCache>
                <c:ptCount val="1"/>
                <c:pt idx="0">
                  <c:v>Penduduk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'Pengeluaran Makanan'!$S$4:$W$4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'Pengeluaran Makanan'!$S$7:$W$7</c:f>
              <c:numCache>
                <c:formatCode>#,##0.00</c:formatCode>
                <c:ptCount val="5"/>
                <c:pt idx="0" formatCode="0.00">
                  <c:v>55.51</c:v>
                </c:pt>
                <c:pt idx="1">
                  <c:v>55.96</c:v>
                </c:pt>
                <c:pt idx="2">
                  <c:v>55.86</c:v>
                </c:pt>
                <c:pt idx="3" formatCode="0.00">
                  <c:v>50.41</c:v>
                </c:pt>
                <c:pt idx="4" formatCode="0.00">
                  <c:v>52.06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3-4C39-84F7-0B392D129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363600"/>
        <c:axId val="300649600"/>
      </c:lineChart>
      <c:catAx>
        <c:axId val="39336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49600"/>
        <c:crosses val="autoZero"/>
        <c:auto val="1"/>
        <c:lblAlgn val="ctr"/>
        <c:lblOffset val="100"/>
        <c:noMultiLvlLbl val="0"/>
      </c:catAx>
      <c:valAx>
        <c:axId val="300649600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63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62153</xdr:colOff>
      <xdr:row>9</xdr:row>
      <xdr:rowOff>111991</xdr:rowOff>
    </xdr:from>
    <xdr:to>
      <xdr:col>14</xdr:col>
      <xdr:colOff>104679</xdr:colOff>
      <xdr:row>23</xdr:row>
      <xdr:rowOff>99290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79590-324B-DE24-8EA8-7E4C3E371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376464</xdr:colOff>
      <xdr:row>8</xdr:row>
      <xdr:rowOff>79829</xdr:rowOff>
    </xdr:from>
    <xdr:to>
      <xdr:col>21</xdr:col>
      <xdr:colOff>439964</xdr:colOff>
      <xdr:row>22</xdr:row>
      <xdr:rowOff>29029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378FEC-A4AC-0ACC-006F-6BAD583D6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475583</xdr:colOff>
      <xdr:row>5</xdr:row>
      <xdr:rowOff>36540</xdr:rowOff>
    </xdr:from>
    <xdr:to>
      <xdr:col>13</xdr:col>
      <xdr:colOff>306162</xdr:colOff>
      <xdr:row>19</xdr:row>
      <xdr:rowOff>23840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302C9-8BE4-9518-B7EC-8B2F34561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234950</xdr:colOff>
      <xdr:row>8</xdr:row>
      <xdr:rowOff>114300</xdr:rowOff>
    </xdr:from>
    <xdr:to>
      <xdr:col>18</xdr:col>
      <xdr:colOff>273050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EE60D-7A8A-FAE4-9258-259745016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239118</xdr:colOff>
      <xdr:row>10</xdr:row>
      <xdr:rowOff>121642</xdr:rowOff>
    </xdr:from>
    <xdr:to>
      <xdr:col>26</xdr:col>
      <xdr:colOff>296664</xdr:colOff>
      <xdr:row>24</xdr:row>
      <xdr:rowOff>86717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36528-8E67-40E5-73F7-914581BF3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26</xdr:col>
      <xdr:colOff>57546</xdr:colOff>
      <xdr:row>44</xdr:row>
      <xdr:rowOff>163512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1435E-7F91-4A76-84AC-38ECEAE97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114027</xdr:colOff>
      <xdr:row>8</xdr:row>
      <xdr:rowOff>69099</xdr:rowOff>
    </xdr:from>
    <xdr:to>
      <xdr:col>19</xdr:col>
      <xdr:colOff>145436</xdr:colOff>
      <xdr:row>22</xdr:row>
      <xdr:rowOff>40148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65ED79-A0B5-438F-135D-D9C9C6031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334148</xdr:colOff>
      <xdr:row>10</xdr:row>
      <xdr:rowOff>57492</xdr:rowOff>
    </xdr:from>
    <xdr:to>
      <xdr:col>12</xdr:col>
      <xdr:colOff>372248</xdr:colOff>
      <xdr:row>24</xdr:row>
      <xdr:rowOff>44792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D69838-17F6-4542-8DCA-8CF975E8C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550153</xdr:colOff>
      <xdr:row>10</xdr:row>
      <xdr:rowOff>4727</xdr:rowOff>
    </xdr:from>
    <xdr:to>
      <xdr:col>24</xdr:col>
      <xdr:colOff>461253</xdr:colOff>
      <xdr:row>23</xdr:row>
      <xdr:rowOff>194687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7509B-62B1-829D-3DA4-9AD8AB4EE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578800</xdr:colOff>
      <xdr:row>24</xdr:row>
      <xdr:rowOff>91820</xdr:rowOff>
    </xdr:from>
    <xdr:to>
      <xdr:col>23</xdr:col>
      <xdr:colOff>603616</xdr:colOff>
      <xdr:row>38</xdr:row>
      <xdr:rowOff>76054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1C3E4-FD9A-1492-D98A-DF0CD05C7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10</xdr:row>
      <xdr:rowOff>21896</xdr:rowOff>
    </xdr:from>
    <xdr:to>
      <xdr:col>30</xdr:col>
      <xdr:colOff>189770</xdr:colOff>
      <xdr:row>20</xdr:row>
      <xdr:rowOff>65690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1C2E8C-C834-446D-AE39-4977D475D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40821</xdr:colOff>
      <xdr:row>10</xdr:row>
      <xdr:rowOff>125185</xdr:rowOff>
    </xdr:from>
    <xdr:to>
      <xdr:col>24</xdr:col>
      <xdr:colOff>104321</xdr:colOff>
      <xdr:row>24</xdr:row>
      <xdr:rowOff>74385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83DDE-8D9D-962E-5CF9-3BB82B8F4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387599</xdr:colOff>
      <xdr:row>11</xdr:row>
      <xdr:rowOff>8246</xdr:rowOff>
    </xdr:from>
    <xdr:to>
      <xdr:col>32</xdr:col>
      <xdr:colOff>107208</xdr:colOff>
      <xdr:row>22</xdr:row>
      <xdr:rowOff>123700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1DBCD-D3FE-4C57-9054-92C6C0EE0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434646</xdr:colOff>
      <xdr:row>10</xdr:row>
      <xdr:rowOff>194004</xdr:rowOff>
    </xdr:from>
    <xdr:to>
      <xdr:col>13</xdr:col>
      <xdr:colOff>485008</xdr:colOff>
      <xdr:row>24</xdr:row>
      <xdr:rowOff>178238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C4B2B-CD73-3B71-584C-6D3A92320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298689</xdr:colOff>
      <xdr:row>9</xdr:row>
      <xdr:rowOff>19769</xdr:rowOff>
    </xdr:from>
    <xdr:to>
      <xdr:col>13</xdr:col>
      <xdr:colOff>335112</xdr:colOff>
      <xdr:row>23</xdr:row>
      <xdr:rowOff>7068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0F5C8-FFA2-7F8D-EB35-EB4046B53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555989</xdr:colOff>
      <xdr:row>9</xdr:row>
      <xdr:rowOff>69329</xdr:rowOff>
    </xdr:from>
    <xdr:to>
      <xdr:col>13</xdr:col>
      <xdr:colOff>598357</xdr:colOff>
      <xdr:row>23</xdr:row>
      <xdr:rowOff>56628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94181-540C-563D-AF37-74CBCC786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8</xdr:row>
      <xdr:rowOff>158750</xdr:rowOff>
    </xdr:from>
    <xdr:to>
      <xdr:col>19</xdr:col>
      <xdr:colOff>228600</xdr:colOff>
      <xdr:row>22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BCFB2-8EB0-E9B1-7469-B00C56F7C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455532</xdr:colOff>
      <xdr:row>11</xdr:row>
      <xdr:rowOff>46196</xdr:rowOff>
    </xdr:from>
    <xdr:to>
      <xdr:col>23</xdr:col>
      <xdr:colOff>513078</xdr:colOff>
      <xdr:row>25</xdr:row>
      <xdr:rowOff>11271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3F5FD8-7124-0CB0-7C68-7B84B0AA3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F42">
  <tableColumns count="6">
    <tableColumn id="1" xr3:uid="{00000000-0010-0000-0000-000001000000}" name="Kabupaten/Kota Se Jawa Timur"/>
    <tableColumn id="2" xr3:uid="{00000000-0010-0000-0000-000002000000}" name="2020"/>
    <tableColumn id="3" xr3:uid="{00000000-0010-0000-0000-000003000000}" name="2021"/>
    <tableColumn id="4" xr3:uid="{00000000-0010-0000-0000-000004000000}" name="2022"/>
    <tableColumn id="5" xr3:uid="{00000000-0010-0000-0000-000005000000}" name="2023"/>
    <tableColumn id="6" xr3:uid="{00000000-0010-0000-0000-000006000000}" name="2024"/>
  </tableColumns>
  <tableStyleInfo name="Jumlah Pend Misk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F42">
  <tableColumns count="6">
    <tableColumn id="1" xr3:uid="{00000000-0010-0000-0100-000001000000}" name="Kabupaten/Kota Se Jawa Timur"/>
    <tableColumn id="2" xr3:uid="{00000000-0010-0000-0100-000002000000}" name="2020"/>
    <tableColumn id="3" xr3:uid="{00000000-0010-0000-0100-000003000000}" name="2021"/>
    <tableColumn id="4" xr3:uid="{00000000-0010-0000-0100-000004000000}" name="2022"/>
    <tableColumn id="5" xr3:uid="{00000000-0010-0000-0100-000005000000}" name="2023"/>
    <tableColumn id="6" xr3:uid="{00000000-0010-0000-0100-000006000000}" name="2024"/>
  </tableColumns>
  <tableStyleInfo name="P0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:F42">
  <tableColumns count="6">
    <tableColumn id="1" xr3:uid="{00000000-0010-0000-0200-000001000000}" name="Kabupaten/Kota Se Jawa Timur"/>
    <tableColumn id="2" xr3:uid="{00000000-0010-0000-0200-000002000000}" name="2020"/>
    <tableColumn id="3" xr3:uid="{00000000-0010-0000-0200-000003000000}" name="2021"/>
    <tableColumn id="4" xr3:uid="{00000000-0010-0000-0200-000004000000}" name="2022"/>
    <tableColumn id="5" xr3:uid="{00000000-0010-0000-0200-000005000000}" name="2023"/>
    <tableColumn id="6" xr3:uid="{00000000-0010-0000-0200-000006000000}" name="2024"/>
  </tableColumns>
  <tableStyleInfo name="GK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F42">
  <tableColumns count="6">
    <tableColumn id="1" xr3:uid="{00000000-0010-0000-0300-000001000000}" name="Kabupaten/Kota Se Jawa Timur"/>
    <tableColumn id="2" xr3:uid="{00000000-0010-0000-0300-000002000000}" name="2020"/>
    <tableColumn id="3" xr3:uid="{00000000-0010-0000-0300-000003000000}" name="2021"/>
    <tableColumn id="4" xr3:uid="{00000000-0010-0000-0300-000004000000}" name="2022"/>
    <tableColumn id="5" xr3:uid="{00000000-0010-0000-0300-000005000000}" name="2023"/>
    <tableColumn id="6" xr3:uid="{00000000-0010-0000-0300-000006000000}" name="2024"/>
  </tableColumns>
  <tableStyleInfo name="P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:F42">
  <tableColumns count="6">
    <tableColumn id="1" xr3:uid="{00000000-0010-0000-0400-000001000000}" name="Kabupaten/Kota Se Jawa Timur"/>
    <tableColumn id="2" xr3:uid="{00000000-0010-0000-0400-000002000000}" name="2020"/>
    <tableColumn id="3" xr3:uid="{00000000-0010-0000-0400-000003000000}" name="2021"/>
    <tableColumn id="4" xr3:uid="{00000000-0010-0000-0400-000004000000}" name="2022"/>
    <tableColumn id="5" xr3:uid="{00000000-0010-0000-0400-000005000000}" name="2023"/>
    <tableColumn id="6" xr3:uid="{00000000-0010-0000-0400-000006000000}" name="2024"/>
  </tableColumns>
  <tableStyleInfo name="P2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:F42">
  <tableColumns count="6">
    <tableColumn id="1" xr3:uid="{00000000-0010-0000-0500-000001000000}" name="Kabupaten/Kota Se Jawa Timur"/>
    <tableColumn id="2" xr3:uid="{00000000-0010-0000-0500-000002000000}" name="2020"/>
    <tableColumn id="3" xr3:uid="{00000000-0010-0000-0500-000003000000}" name="2021"/>
    <tableColumn id="4" xr3:uid="{00000000-0010-0000-0500-000004000000}" name="2022"/>
    <tableColumn id="5" xr3:uid="{00000000-0010-0000-0500-000005000000}" name="2023"/>
    <tableColumn id="6" xr3:uid="{00000000-0010-0000-0500-000006000000}" name="2024"/>
  </tableColumns>
  <tableStyleInfo name="Gini Rati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:K42">
  <tableColumns count="11">
    <tableColumn id="1" xr3:uid="{00000000-0010-0000-0600-000001000000}" name="Kabupaten/Kota Se Jawa Timur"/>
    <tableColumn id="2" xr3:uid="{00000000-0010-0000-0600-000002000000}" name="15-24_2020"/>
    <tableColumn id="3" xr3:uid="{00000000-0010-0000-0600-000003000000}" name="15-55_2020"/>
    <tableColumn id="4" xr3:uid="{00000000-0010-0000-0600-000004000000}" name="15-24_2021"/>
    <tableColumn id="5" xr3:uid="{00000000-0010-0000-0600-000005000000}" name="15-55_2021"/>
    <tableColumn id="6" xr3:uid="{00000000-0010-0000-0600-000006000000}" name="15-24_2022"/>
    <tableColumn id="7" xr3:uid="{00000000-0010-0000-0600-000007000000}" name="15-55_2022"/>
    <tableColumn id="8" xr3:uid="{00000000-0010-0000-0600-000008000000}" name="15-24_2023"/>
    <tableColumn id="9" xr3:uid="{00000000-0010-0000-0600-000009000000}" name="15-55_2023"/>
    <tableColumn id="10" xr3:uid="{00000000-0010-0000-0600-00000A000000}" name="15-24_2024"/>
    <tableColumn id="11" xr3:uid="{00000000-0010-0000-0600-00000B000000}" name="15-55_20242"/>
  </tableColumns>
  <tableStyleInfo name="AMH Miskin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:P42">
  <tableColumns count="16">
    <tableColumn id="1" xr3:uid="{00000000-0010-0000-0700-000001000000}" name="Kabupaten/Kota Se Jawa Timur"/>
    <tableColumn id="2" xr3:uid="{00000000-0010-0000-0700-000002000000}" name="&lt;SD_2020"/>
    <tableColumn id="3" xr3:uid="{00000000-0010-0000-0700-000003000000}" name="SD/SMP_2020"/>
    <tableColumn id="4" xr3:uid="{00000000-0010-0000-0700-000004000000}" name="SMA_2020"/>
    <tableColumn id="5" xr3:uid="{00000000-0010-0000-0700-000005000000}" name="&lt;SD_2021"/>
    <tableColumn id="6" xr3:uid="{00000000-0010-0000-0700-000006000000}" name="SD/SMP_2021"/>
    <tableColumn id="7" xr3:uid="{00000000-0010-0000-0700-000007000000}" name="SMA_2021"/>
    <tableColumn id="8" xr3:uid="{00000000-0010-0000-0700-000008000000}" name="&lt;SD_2022"/>
    <tableColumn id="9" xr3:uid="{00000000-0010-0000-0700-000009000000}" name="SD/SMP_2022"/>
    <tableColumn id="10" xr3:uid="{00000000-0010-0000-0700-00000A000000}" name="SMA_2022"/>
    <tableColumn id="11" xr3:uid="{00000000-0010-0000-0700-00000B000000}" name="&lt;SD_2023"/>
    <tableColumn id="12" xr3:uid="{00000000-0010-0000-0700-00000C000000}" name="SD/SMP_2023"/>
    <tableColumn id="13" xr3:uid="{00000000-0010-0000-0700-00000D000000}" name="SMA_2023"/>
    <tableColumn id="14" xr3:uid="{00000000-0010-0000-0700-00000E000000}" name="&lt;SD_2024"/>
    <tableColumn id="15" xr3:uid="{00000000-0010-0000-0700-00000F000000}" name="SD/SMP_2024"/>
    <tableColumn id="16" xr3:uid="{00000000-0010-0000-0700-000010000000}" name="SMA_2024"/>
  </tableColumns>
  <tableStyleInfo name="Pendidikan Tamat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:K42">
  <tableColumns count="11">
    <tableColumn id="1" xr3:uid="{00000000-0010-0000-0800-000001000000}" name="Kabupaten/Kota Se Jawa Timur"/>
    <tableColumn id="2" xr3:uid="{00000000-0010-0000-0800-000002000000}" name="7-12_2020"/>
    <tableColumn id="3" xr3:uid="{00000000-0010-0000-0800-000003000000}" name="13-15_2020"/>
    <tableColumn id="4" xr3:uid="{00000000-0010-0000-0800-000004000000}" name="7-12_2021"/>
    <tableColumn id="5" xr3:uid="{00000000-0010-0000-0800-000005000000}" name="13-15_2021"/>
    <tableColumn id="6" xr3:uid="{00000000-0010-0000-0800-000006000000}" name="7-12_2022"/>
    <tableColumn id="7" xr3:uid="{00000000-0010-0000-0800-000007000000}" name="13-15_2022"/>
    <tableColumn id="8" xr3:uid="{00000000-0010-0000-0800-000008000000}" name="7-12_2023"/>
    <tableColumn id="9" xr3:uid="{00000000-0010-0000-0800-000009000000}" name="13-15_2023"/>
    <tableColumn id="10" xr3:uid="{00000000-0010-0000-0800-00000A000000}" name="7-12_2024"/>
    <tableColumn id="11" xr3:uid="{00000000-0010-0000-0800-00000B000000}" name="13-15_2024"/>
  </tableColumns>
  <tableStyleInfo name="APS Miski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3:D42">
  <tableColumns count="4">
    <tableColumn id="1" xr3:uid="{00000000-0010-0000-0900-000001000000}" name="Kabupaten/Kota Se Jawa Timur"/>
    <tableColumn id="2" xr3:uid="{00000000-0010-0000-0900-000002000000}" name="Ya"/>
    <tableColumn id="3" xr3:uid="{00000000-0010-0000-0900-000003000000}" name="Tidak"/>
    <tableColumn id="4" xr3:uid="{00000000-0010-0000-0900-000004000000}" name="RSE"/>
  </tableColumns>
  <tableStyleInfo name="Keluhan Kesehatan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3:C42">
  <tableColumns count="3">
    <tableColumn id="1" xr3:uid="{00000000-0010-0000-0A00-000001000000}" name="Kabupaten/Kota Se Jawa Timur"/>
    <tableColumn id="2" xr3:uid="{00000000-0010-0000-0A00-000002000000}" name="Punya"/>
    <tableColumn id="3" xr3:uid="{00000000-0010-0000-0A00-000003000000}" name="Tidak Punya"/>
  </tableColumns>
  <tableStyleInfo name="Kepemilikan Jamkes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3:P42">
  <tableColumns count="16">
    <tableColumn id="1" xr3:uid="{00000000-0010-0000-0B00-000001000000}" name="Kabupaten/Kota Se Jawa Timur"/>
    <tableColumn id="2" xr3:uid="{00000000-0010-0000-0B00-000002000000}" name="Tidak Bekerja_2020"/>
    <tableColumn id="3" xr3:uid="{00000000-0010-0000-0B00-000003000000}" name="Bekerja Informal_2020"/>
    <tableColumn id="4" xr3:uid="{00000000-0010-0000-0B00-000004000000}" name="Bekerja Formal_2020"/>
    <tableColumn id="5" xr3:uid="{00000000-0010-0000-0B00-000005000000}" name="Tidak Bekerja_2021"/>
    <tableColumn id="6" xr3:uid="{00000000-0010-0000-0B00-000006000000}" name="Bekerja Informal_2021"/>
    <tableColumn id="7" xr3:uid="{00000000-0010-0000-0B00-000007000000}" name="Bekerja Formal_2021"/>
    <tableColumn id="8" xr3:uid="{00000000-0010-0000-0B00-000008000000}" name="Tidak Bekerja_2022"/>
    <tableColumn id="9" xr3:uid="{00000000-0010-0000-0B00-000009000000}" name="Bekerja Informal_2022"/>
    <tableColumn id="10" xr3:uid="{00000000-0010-0000-0B00-00000A000000}" name="Bekerja Formal_2022"/>
    <tableColumn id="11" xr3:uid="{00000000-0010-0000-0B00-00000B000000}" name="Tidak Bekerja_2023"/>
    <tableColumn id="12" xr3:uid="{00000000-0010-0000-0B00-00000C000000}" name="Bekerja Informal_2023"/>
    <tableColumn id="13" xr3:uid="{00000000-0010-0000-0B00-00000D000000}" name="Bekerja Formal_2023"/>
    <tableColumn id="14" xr3:uid="{00000000-0010-0000-0B00-00000E000000}" name="Tidak Bekerja_2024"/>
    <tableColumn id="15" xr3:uid="{00000000-0010-0000-0B00-00000F000000}" name="Bekerja Informal_2024"/>
    <tableColumn id="16" xr3:uid="{00000000-0010-0000-0B00-000010000000}" name="Bekerja Formal_2024"/>
  </tableColumns>
  <tableStyleInfo name="Status Bekerja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3:P42">
  <tableColumns count="16">
    <tableColumn id="1" xr3:uid="{00000000-0010-0000-0C00-000001000000}" name="Kabupaten/Kota Se Jawa Timur"/>
    <tableColumn id="2" xr3:uid="{00000000-0010-0000-0C00-000002000000}" name="Tidak Bekerja_2020"/>
    <tableColumn id="3" xr3:uid="{00000000-0010-0000-0C00-000003000000}" name="Bekerja Pertanian_2020"/>
    <tableColumn id="4" xr3:uid="{00000000-0010-0000-0C00-000004000000}" name="Bekerja Bukan Pertanian_2020"/>
    <tableColumn id="5" xr3:uid="{00000000-0010-0000-0C00-000005000000}" name="Tidak Bekerja_2021"/>
    <tableColumn id="6" xr3:uid="{00000000-0010-0000-0C00-000006000000}" name="Bekerja Pertanian_2021"/>
    <tableColumn id="7" xr3:uid="{00000000-0010-0000-0C00-000007000000}" name="Bekerja Bukan Pertanian_2021"/>
    <tableColumn id="8" xr3:uid="{00000000-0010-0000-0C00-000008000000}" name="Tidak Bekerja_2022"/>
    <tableColumn id="9" xr3:uid="{00000000-0010-0000-0C00-000009000000}" name="Bekerja Pertanian_2022"/>
    <tableColumn id="10" xr3:uid="{00000000-0010-0000-0C00-00000A000000}" name="Bekerja Bukan Pertanian_2022"/>
    <tableColumn id="11" xr3:uid="{00000000-0010-0000-0C00-00000B000000}" name="Tidak Bekerja_2023"/>
    <tableColumn id="12" xr3:uid="{00000000-0010-0000-0C00-00000C000000}" name="Bekerja Pertanian_2023"/>
    <tableColumn id="13" xr3:uid="{00000000-0010-0000-0C00-00000D000000}" name="Bekerja Bukan Pertanian_2023"/>
    <tableColumn id="14" xr3:uid="{00000000-0010-0000-0C00-00000E000000}" name="Tidak Bekerja_2024"/>
    <tableColumn id="15" xr3:uid="{00000000-0010-0000-0C00-00000F000000}" name="Bekerja Pertanian_2024"/>
    <tableColumn id="16" xr3:uid="{00000000-0010-0000-0C00-000010000000}" name="Bekerja Bukan Pertanian_2024"/>
  </tableColumns>
  <tableStyleInfo name="Sektor Bekerja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3:F42">
  <tableColumns count="6">
    <tableColumn id="1" xr3:uid="{00000000-0010-0000-0D00-000001000000}" name="Kabupaten/Kota Se Jawa Timur"/>
    <tableColumn id="2" xr3:uid="{00000000-0010-0000-0D00-000002000000}" name="2020"/>
    <tableColumn id="3" xr3:uid="{00000000-0010-0000-0D00-000003000000}" name="2021"/>
    <tableColumn id="4" xr3:uid="{00000000-0010-0000-0D00-000004000000}" name="2022"/>
    <tableColumn id="5" xr3:uid="{00000000-0010-0000-0D00-000005000000}" name="2023"/>
    <tableColumn id="6" xr3:uid="{00000000-0010-0000-0D00-000006000000}" name="2024"/>
  </tableColumns>
  <tableStyleInfo name="Atap Layak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3:F42">
  <tableColumns count="6">
    <tableColumn id="1" xr3:uid="{00000000-0010-0000-0E00-000001000000}" name="Kabupaten/Kota Se Jawa Timur"/>
    <tableColumn id="2" xr3:uid="{00000000-0010-0000-0E00-000002000000}" name="2020"/>
    <tableColumn id="3" xr3:uid="{00000000-0010-0000-0E00-000003000000}" name="2021"/>
    <tableColumn id="4" xr3:uid="{00000000-0010-0000-0E00-000004000000}" name="2022"/>
    <tableColumn id="5" xr3:uid="{00000000-0010-0000-0E00-000005000000}" name="2023"/>
    <tableColumn id="6" xr3:uid="{00000000-0010-0000-0E00-000006000000}" name="2024"/>
  </tableColumns>
  <tableStyleInfo name="Dinding Layak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3:F42">
  <tableColumns count="6">
    <tableColumn id="1" xr3:uid="{00000000-0010-0000-0F00-000001000000}" name="Kabupaten/Kota Se Jawa Timur"/>
    <tableColumn id="2" xr3:uid="{00000000-0010-0000-0F00-000002000000}" name="2020"/>
    <tableColumn id="3" xr3:uid="{00000000-0010-0000-0F00-000003000000}" name="2021"/>
    <tableColumn id="4" xr3:uid="{00000000-0010-0000-0F00-000004000000}" name="2022"/>
    <tableColumn id="5" xr3:uid="{00000000-0010-0000-0F00-000005000000}" name="2023"/>
    <tableColumn id="6" xr3:uid="{00000000-0010-0000-0F00-000006000000}" name="2024"/>
  </tableColumns>
  <tableStyleInfo name="Lantai Layak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3:K42">
  <tableColumns count="11">
    <tableColumn id="1" xr3:uid="{00000000-0010-0000-1000-000001000000}" name="Kabupaten/Kota Se Jawa Timur"/>
    <tableColumn id="2" xr3:uid="{00000000-0010-0000-1000-000002000000}" name="Air Layak_2020"/>
    <tableColumn id="3" xr3:uid="{00000000-0010-0000-1000-000003000000}" name="Jamban Sendiri/Bersama_2020"/>
    <tableColumn id="4" xr3:uid="{00000000-0010-0000-1000-000004000000}" name="Air Layak_2021"/>
    <tableColumn id="5" xr3:uid="{00000000-0010-0000-1000-000005000000}" name="Jamban Sendiri/Bersama_2021"/>
    <tableColumn id="6" xr3:uid="{00000000-0010-0000-1000-000006000000}" name="Air Layak_2022"/>
    <tableColumn id="7" xr3:uid="{00000000-0010-0000-1000-000007000000}" name="Jamban Sendiri/Bersama_2022"/>
    <tableColumn id="8" xr3:uid="{00000000-0010-0000-1000-000008000000}" name="Air Layak_2023"/>
    <tableColumn id="9" xr3:uid="{00000000-0010-0000-1000-000009000000}" name="Jamban Sendiri/Bersama_2023"/>
    <tableColumn id="10" xr3:uid="{00000000-0010-0000-1000-00000A000000}" name="Air Layak_2024"/>
    <tableColumn id="11" xr3:uid="{00000000-0010-0000-1000-00000B000000}" name="Jamban Sendiri/Bersama_2024"/>
  </tableColumns>
  <tableStyleInfo name="Air Layak dan Jamban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3:P42">
  <tableColumns count="16">
    <tableColumn id="1" xr3:uid="{00000000-0010-0000-1100-000001000000}" name="Kabupaten/Kota Se Jawa Timur"/>
    <tableColumn id="2" xr3:uid="{00000000-0010-0000-1100-000002000000}" name="Miskin_2020"/>
    <tableColumn id="3" xr3:uid="{00000000-0010-0000-1100-000003000000}" name="Tidak Miskin_2020"/>
    <tableColumn id="4" xr3:uid="{00000000-0010-0000-1100-000004000000}" name="Penduduk_2020"/>
    <tableColumn id="5" xr3:uid="{00000000-0010-0000-1100-000005000000}" name="Miskin_2021"/>
    <tableColumn id="6" xr3:uid="{00000000-0010-0000-1100-000006000000}" name="Tidak Miskin_2021"/>
    <tableColumn id="7" xr3:uid="{00000000-0010-0000-1100-000007000000}" name="Penduduk_2021"/>
    <tableColumn id="8" xr3:uid="{00000000-0010-0000-1100-000008000000}" name="Miskin_2022"/>
    <tableColumn id="9" xr3:uid="{00000000-0010-0000-1100-000009000000}" name="Tidak Miskin_2022"/>
    <tableColumn id="10" xr3:uid="{00000000-0010-0000-1100-00000A000000}" name="Penduduk_2022"/>
    <tableColumn id="11" xr3:uid="{00000000-0010-0000-1100-00000B000000}" name="Miskin_2023"/>
    <tableColumn id="12" xr3:uid="{00000000-0010-0000-1100-00000C000000}" name="Tidak Miskin_2023"/>
    <tableColumn id="13" xr3:uid="{00000000-0010-0000-1100-00000D000000}" name="Penduduk_2023"/>
    <tableColumn id="14" xr3:uid="{00000000-0010-0000-1100-00000E000000}" name="Miskin_2024"/>
    <tableColumn id="15" xr3:uid="{00000000-0010-0000-1100-00000F000000}" name="Tidak Miskin_2024"/>
    <tableColumn id="16" xr3:uid="{00000000-0010-0000-1100-000010000000}" name="Penduduk_2024"/>
  </tableColumns>
  <tableStyleInfo name="Pengeluaran Makan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zoomScale="95" zoomScaleNormal="95" workbookViewId="0">
      <selection activeCell="F7" sqref="F7"/>
    </sheetView>
  </sheetViews>
  <sheetFormatPr defaultColWidth="11.25" defaultRowHeight="15" customHeight="1" x14ac:dyDescent="0.35"/>
  <cols>
    <col min="1" max="1" width="26.58203125" customWidth="1"/>
    <col min="2" max="6" width="10.08203125" customWidth="1"/>
    <col min="7" max="26" width="8.5" customWidth="1"/>
  </cols>
  <sheetData>
    <row r="1" spans="1:8" ht="15.5" x14ac:dyDescent="0.35">
      <c r="A1" s="38" t="s">
        <v>0</v>
      </c>
      <c r="B1" s="39"/>
      <c r="C1" s="39"/>
      <c r="D1" s="39"/>
      <c r="E1" s="39"/>
      <c r="F1" s="40"/>
    </row>
    <row r="2" spans="1:8" ht="15.5" x14ac:dyDescent="0.35">
      <c r="A2" s="1"/>
      <c r="B2" s="1"/>
      <c r="C2" s="1"/>
      <c r="D2" s="1"/>
      <c r="E2" s="1"/>
      <c r="F2" s="1"/>
    </row>
    <row r="3" spans="1:8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8" ht="15.5" x14ac:dyDescent="0.35">
      <c r="A4" s="4" t="s">
        <v>7</v>
      </c>
      <c r="B4" s="5">
        <v>80.819999999999993</v>
      </c>
      <c r="C4" s="5">
        <v>84.19</v>
      </c>
      <c r="D4" s="5">
        <v>76.930000000000007</v>
      </c>
      <c r="E4" s="5">
        <v>76.2</v>
      </c>
      <c r="F4" s="5">
        <v>73.03</v>
      </c>
      <c r="H4" s="6"/>
    </row>
    <row r="5" spans="1:8" ht="15.5" x14ac:dyDescent="0.35">
      <c r="A5" s="4" t="s">
        <v>8</v>
      </c>
      <c r="B5" s="5">
        <v>86.74</v>
      </c>
      <c r="C5" s="5">
        <v>89.94</v>
      </c>
      <c r="D5" s="5">
        <v>81.8</v>
      </c>
      <c r="E5" s="5">
        <v>83.71</v>
      </c>
      <c r="F5" s="5">
        <v>80.05</v>
      </c>
      <c r="H5" s="6"/>
    </row>
    <row r="6" spans="1:8" ht="15.5" x14ac:dyDescent="0.35">
      <c r="A6" s="4" t="s">
        <v>9</v>
      </c>
      <c r="B6" s="5">
        <v>81.06</v>
      </c>
      <c r="C6" s="5">
        <v>84.89</v>
      </c>
      <c r="D6" s="5">
        <v>76.75</v>
      </c>
      <c r="E6" s="5">
        <v>74.58</v>
      </c>
      <c r="F6" s="5">
        <v>73.75</v>
      </c>
      <c r="H6" s="6"/>
    </row>
    <row r="7" spans="1:8" ht="15.5" x14ac:dyDescent="0.35">
      <c r="A7" s="4" t="s">
        <v>10</v>
      </c>
      <c r="B7" s="5">
        <v>76.400000000000006</v>
      </c>
      <c r="C7" s="5">
        <v>78.59</v>
      </c>
      <c r="D7" s="5">
        <v>70.52</v>
      </c>
      <c r="E7" s="5">
        <v>68.81</v>
      </c>
      <c r="F7" s="5">
        <v>66.42</v>
      </c>
      <c r="H7" s="6"/>
    </row>
    <row r="8" spans="1:8" ht="15.5" x14ac:dyDescent="0.35">
      <c r="A8" s="4" t="s">
        <v>11</v>
      </c>
      <c r="B8" s="5">
        <v>108.55</v>
      </c>
      <c r="C8" s="5">
        <v>112.62</v>
      </c>
      <c r="D8" s="5">
        <v>101.94</v>
      </c>
      <c r="E8" s="5">
        <v>101.94</v>
      </c>
      <c r="F8" s="5">
        <v>95.91</v>
      </c>
      <c r="H8" s="6"/>
    </row>
    <row r="9" spans="1:8" ht="15.5" x14ac:dyDescent="0.35">
      <c r="A9" s="4" t="s">
        <v>12</v>
      </c>
      <c r="B9" s="5">
        <v>179.93</v>
      </c>
      <c r="C9" s="5">
        <v>184.49</v>
      </c>
      <c r="D9" s="5">
        <v>169.46</v>
      </c>
      <c r="E9" s="5">
        <v>171.18</v>
      </c>
      <c r="F9" s="5">
        <v>159.27000000000001</v>
      </c>
      <c r="H9" s="6"/>
    </row>
    <row r="10" spans="1:8" ht="15.5" x14ac:dyDescent="0.35">
      <c r="A10" s="4" t="s">
        <v>13</v>
      </c>
      <c r="B10" s="5">
        <v>265.56</v>
      </c>
      <c r="C10" s="5">
        <v>276.58</v>
      </c>
      <c r="D10" s="5">
        <v>252.88</v>
      </c>
      <c r="E10" s="5">
        <v>251.36</v>
      </c>
      <c r="F10" s="5">
        <v>240.14</v>
      </c>
      <c r="H10" s="6"/>
    </row>
    <row r="11" spans="1:8" ht="15.5" x14ac:dyDescent="0.35">
      <c r="A11" s="4" t="s">
        <v>14</v>
      </c>
      <c r="B11" s="5">
        <v>102.6</v>
      </c>
      <c r="C11" s="5">
        <v>105.25</v>
      </c>
      <c r="D11" s="5">
        <v>95.04</v>
      </c>
      <c r="E11" s="5">
        <v>93.82</v>
      </c>
      <c r="F11" s="5">
        <v>91.05</v>
      </c>
      <c r="H11" s="6"/>
    </row>
    <row r="12" spans="1:8" ht="15.5" x14ac:dyDescent="0.35">
      <c r="A12" s="4" t="s">
        <v>15</v>
      </c>
      <c r="B12" s="5">
        <v>247.99</v>
      </c>
      <c r="C12" s="5">
        <v>257.08999999999997</v>
      </c>
      <c r="D12" s="5">
        <v>232.73</v>
      </c>
      <c r="E12" s="5">
        <v>236.46</v>
      </c>
      <c r="F12" s="5">
        <v>224.77</v>
      </c>
      <c r="H12" s="6"/>
    </row>
    <row r="13" spans="1:8" ht="15.5" x14ac:dyDescent="0.35">
      <c r="A13" s="4" t="s">
        <v>16</v>
      </c>
      <c r="B13" s="5">
        <v>130.37</v>
      </c>
      <c r="C13" s="5">
        <v>130.93</v>
      </c>
      <c r="D13" s="5">
        <v>122.01</v>
      </c>
      <c r="E13" s="5">
        <v>119.52</v>
      </c>
      <c r="F13" s="5">
        <v>106.61</v>
      </c>
      <c r="H13" s="6"/>
    </row>
    <row r="14" spans="1:8" ht="15.5" x14ac:dyDescent="0.35">
      <c r="A14" s="4" t="s">
        <v>17</v>
      </c>
      <c r="B14" s="5">
        <v>110.24</v>
      </c>
      <c r="C14" s="5">
        <v>115.18</v>
      </c>
      <c r="D14" s="5">
        <v>105.69</v>
      </c>
      <c r="E14" s="5">
        <v>105.13</v>
      </c>
      <c r="F14" s="5">
        <v>99.62</v>
      </c>
      <c r="H14" s="6"/>
    </row>
    <row r="15" spans="1:8" ht="15.5" x14ac:dyDescent="0.35">
      <c r="A15" s="4" t="s">
        <v>18</v>
      </c>
      <c r="B15" s="5">
        <v>83.74</v>
      </c>
      <c r="C15" s="5">
        <v>86.95</v>
      </c>
      <c r="D15" s="5">
        <v>81.459999999999994</v>
      </c>
      <c r="E15" s="5">
        <v>82.62</v>
      </c>
      <c r="F15" s="5">
        <v>80.17</v>
      </c>
      <c r="H15" s="6"/>
    </row>
    <row r="16" spans="1:8" ht="15.5" x14ac:dyDescent="0.35">
      <c r="A16" s="4" t="s">
        <v>19</v>
      </c>
      <c r="B16" s="5">
        <v>218.35</v>
      </c>
      <c r="C16" s="5">
        <v>223.32</v>
      </c>
      <c r="D16" s="5">
        <v>203.23</v>
      </c>
      <c r="E16" s="5">
        <v>205.02</v>
      </c>
      <c r="F16" s="5">
        <v>197.11</v>
      </c>
      <c r="H16" s="6"/>
    </row>
    <row r="17" spans="1:8" ht="15.5" x14ac:dyDescent="0.35">
      <c r="A17" s="4" t="s">
        <v>20</v>
      </c>
      <c r="B17" s="5">
        <v>151.43</v>
      </c>
      <c r="C17" s="5">
        <v>159.78</v>
      </c>
      <c r="D17" s="5">
        <v>148.62</v>
      </c>
      <c r="E17" s="5">
        <v>154.09</v>
      </c>
      <c r="F17" s="5">
        <v>144.84</v>
      </c>
      <c r="H17" s="6"/>
    </row>
    <row r="18" spans="1:8" ht="15.5" x14ac:dyDescent="0.35">
      <c r="A18" s="4" t="s">
        <v>21</v>
      </c>
      <c r="B18" s="5">
        <v>127.05</v>
      </c>
      <c r="C18" s="5">
        <v>137.15</v>
      </c>
      <c r="D18" s="5">
        <v>125.69</v>
      </c>
      <c r="E18" s="5">
        <v>119.15</v>
      </c>
      <c r="F18" s="5">
        <v>109.39</v>
      </c>
      <c r="H18" s="6"/>
    </row>
    <row r="19" spans="1:8" ht="15.5" x14ac:dyDescent="0.35">
      <c r="A19" s="4" t="s">
        <v>22</v>
      </c>
      <c r="B19" s="5">
        <v>118.8</v>
      </c>
      <c r="C19" s="5">
        <v>120.54</v>
      </c>
      <c r="D19" s="5">
        <v>111.03</v>
      </c>
      <c r="E19" s="5">
        <v>112.86</v>
      </c>
      <c r="F19" s="5">
        <v>108.72</v>
      </c>
      <c r="H19" s="6"/>
    </row>
    <row r="20" spans="1:8" ht="15.5" x14ac:dyDescent="0.35">
      <c r="A20" s="4" t="s">
        <v>23</v>
      </c>
      <c r="B20" s="5">
        <v>125.94</v>
      </c>
      <c r="C20" s="5">
        <v>127.3</v>
      </c>
      <c r="D20" s="5">
        <v>115.48</v>
      </c>
      <c r="E20" s="5">
        <v>117.36</v>
      </c>
      <c r="F20" s="5">
        <v>110.57</v>
      </c>
      <c r="H20" s="6"/>
    </row>
    <row r="21" spans="1:8" ht="15.5" x14ac:dyDescent="0.35">
      <c r="A21" s="4" t="s">
        <v>24</v>
      </c>
      <c r="B21" s="5">
        <v>122.73</v>
      </c>
      <c r="C21" s="5">
        <v>125.53</v>
      </c>
      <c r="D21" s="5">
        <v>113.63</v>
      </c>
      <c r="E21" s="5">
        <v>115.86</v>
      </c>
      <c r="F21" s="5">
        <v>108.37</v>
      </c>
      <c r="H21" s="6"/>
    </row>
    <row r="22" spans="1:8" ht="15.5" x14ac:dyDescent="0.35">
      <c r="A22" s="4" t="s">
        <v>25</v>
      </c>
      <c r="B22" s="5">
        <v>78.3</v>
      </c>
      <c r="C22" s="5">
        <v>81.61</v>
      </c>
      <c r="D22" s="5">
        <v>74.069999999999993</v>
      </c>
      <c r="E22" s="5">
        <v>75.87</v>
      </c>
      <c r="F22" s="5">
        <v>73.150000000000006</v>
      </c>
      <c r="H22" s="6"/>
    </row>
    <row r="23" spans="1:8" ht="15.5" x14ac:dyDescent="0.35">
      <c r="A23" s="4" t="s">
        <v>26</v>
      </c>
      <c r="B23" s="5">
        <v>65.09</v>
      </c>
      <c r="C23" s="5">
        <v>67.75</v>
      </c>
      <c r="D23" s="5">
        <v>62.65</v>
      </c>
      <c r="E23" s="5">
        <v>62.49</v>
      </c>
      <c r="F23" s="5">
        <v>59.51</v>
      </c>
      <c r="H23" s="6"/>
    </row>
    <row r="24" spans="1:8" ht="15.5" x14ac:dyDescent="0.35">
      <c r="A24" s="4" t="s">
        <v>27</v>
      </c>
      <c r="B24" s="5">
        <v>128.19</v>
      </c>
      <c r="C24" s="5">
        <v>130.81</v>
      </c>
      <c r="D24" s="5">
        <v>119.02</v>
      </c>
      <c r="E24" s="5">
        <v>121.3</v>
      </c>
      <c r="F24" s="5">
        <v>116.47</v>
      </c>
      <c r="H24" s="6"/>
    </row>
    <row r="25" spans="1:8" ht="15.5" x14ac:dyDescent="0.35">
      <c r="A25" s="4" t="s">
        <v>28</v>
      </c>
      <c r="B25" s="5">
        <v>161.1</v>
      </c>
      <c r="C25" s="5">
        <v>166.52</v>
      </c>
      <c r="D25" s="5">
        <v>153.4</v>
      </c>
      <c r="E25" s="5">
        <v>153.25</v>
      </c>
      <c r="F25" s="5">
        <v>147.33000000000001</v>
      </c>
      <c r="H25" s="6"/>
    </row>
    <row r="26" spans="1:8" ht="15.5" x14ac:dyDescent="0.35">
      <c r="A26" s="4" t="s">
        <v>29</v>
      </c>
      <c r="B26" s="5">
        <v>187.13</v>
      </c>
      <c r="C26" s="5">
        <v>192.58</v>
      </c>
      <c r="D26" s="5">
        <v>178.05</v>
      </c>
      <c r="E26" s="5">
        <v>177.25</v>
      </c>
      <c r="F26" s="5">
        <v>171.24</v>
      </c>
      <c r="H26" s="6"/>
    </row>
    <row r="27" spans="1:8" ht="15.5" x14ac:dyDescent="0.35">
      <c r="A27" s="4" t="s">
        <v>30</v>
      </c>
      <c r="B27" s="5">
        <v>164.68</v>
      </c>
      <c r="C27" s="5">
        <v>166.82</v>
      </c>
      <c r="D27" s="5">
        <v>151.08000000000001</v>
      </c>
      <c r="E27" s="5">
        <v>149.94</v>
      </c>
      <c r="F27" s="5">
        <v>146.97999999999999</v>
      </c>
      <c r="H27" s="6"/>
    </row>
    <row r="28" spans="1:8" ht="15.5" x14ac:dyDescent="0.35">
      <c r="A28" s="4" t="s">
        <v>31</v>
      </c>
      <c r="B28" s="5">
        <v>164.05</v>
      </c>
      <c r="C28" s="5">
        <v>166.35</v>
      </c>
      <c r="D28" s="5">
        <v>149.63999999999999</v>
      </c>
      <c r="E28" s="5">
        <v>149.75</v>
      </c>
      <c r="F28" s="5">
        <v>142.38999999999999</v>
      </c>
      <c r="H28" s="6"/>
    </row>
    <row r="29" spans="1:8" ht="15.5" x14ac:dyDescent="0.35">
      <c r="A29" s="4" t="s">
        <v>32</v>
      </c>
      <c r="B29" s="5">
        <v>204</v>
      </c>
      <c r="C29" s="5">
        <v>215.97</v>
      </c>
      <c r="D29" s="5">
        <v>196.11</v>
      </c>
      <c r="E29" s="5">
        <v>196.66</v>
      </c>
      <c r="F29" s="5">
        <v>190.94</v>
      </c>
      <c r="H29" s="6"/>
    </row>
    <row r="30" spans="1:8" ht="15.5" x14ac:dyDescent="0.35">
      <c r="A30" s="4" t="s">
        <v>33</v>
      </c>
      <c r="B30" s="5">
        <v>224.74</v>
      </c>
      <c r="C30" s="5">
        <v>237.23</v>
      </c>
      <c r="D30" s="5">
        <v>217.97</v>
      </c>
      <c r="E30" s="5">
        <v>221.71</v>
      </c>
      <c r="F30" s="5">
        <v>214.32</v>
      </c>
      <c r="H30" s="6"/>
    </row>
    <row r="31" spans="1:8" ht="15.5" x14ac:dyDescent="0.35">
      <c r="A31" s="4" t="s">
        <v>34</v>
      </c>
      <c r="B31" s="5">
        <v>129.41</v>
      </c>
      <c r="C31" s="5">
        <v>137.12</v>
      </c>
      <c r="D31" s="5">
        <v>126.02</v>
      </c>
      <c r="E31" s="5">
        <v>126.43</v>
      </c>
      <c r="F31" s="5">
        <v>123.46</v>
      </c>
      <c r="H31" s="6"/>
    </row>
    <row r="32" spans="1:8" ht="15.5" x14ac:dyDescent="0.35">
      <c r="A32" s="4" t="s">
        <v>35</v>
      </c>
      <c r="B32" s="5">
        <v>220.23</v>
      </c>
      <c r="C32" s="5">
        <v>224.73</v>
      </c>
      <c r="D32" s="5">
        <v>206.2</v>
      </c>
      <c r="E32" s="5">
        <v>206.1</v>
      </c>
      <c r="F32" s="5">
        <v>196.42</v>
      </c>
      <c r="H32" s="6"/>
    </row>
    <row r="33" spans="1:8" ht="15.5" x14ac:dyDescent="0.35">
      <c r="A33" s="4" t="s">
        <v>36</v>
      </c>
      <c r="B33" s="5">
        <v>22.19</v>
      </c>
      <c r="C33" s="5">
        <v>22.55</v>
      </c>
      <c r="D33" s="5">
        <v>21.15</v>
      </c>
      <c r="E33" s="5">
        <v>21.03</v>
      </c>
      <c r="F33" s="5">
        <v>19.239999999999998</v>
      </c>
      <c r="H33" s="6"/>
    </row>
    <row r="34" spans="1:8" ht="15.5" x14ac:dyDescent="0.35">
      <c r="A34" s="4" t="s">
        <v>37</v>
      </c>
      <c r="B34" s="5">
        <v>11.1</v>
      </c>
      <c r="C34" s="5">
        <v>11.33</v>
      </c>
      <c r="D34" s="5">
        <v>10.65</v>
      </c>
      <c r="E34" s="5">
        <v>10.61</v>
      </c>
      <c r="F34" s="5">
        <v>9.86</v>
      </c>
      <c r="H34" s="6"/>
    </row>
    <row r="35" spans="1:8" ht="15.5" x14ac:dyDescent="0.35">
      <c r="A35" s="4" t="s">
        <v>38</v>
      </c>
      <c r="B35" s="5">
        <v>38.770000000000003</v>
      </c>
      <c r="C35" s="5">
        <v>40.619999999999997</v>
      </c>
      <c r="D35" s="5">
        <v>38.56</v>
      </c>
      <c r="E35" s="5">
        <v>37.78</v>
      </c>
      <c r="F35" s="5">
        <v>34.840000000000003</v>
      </c>
      <c r="H35" s="6"/>
    </row>
    <row r="36" spans="1:8" ht="15.5" x14ac:dyDescent="0.35">
      <c r="A36" s="4" t="s">
        <v>39</v>
      </c>
      <c r="B36" s="5">
        <v>17.72</v>
      </c>
      <c r="C36" s="5">
        <v>17.91</v>
      </c>
      <c r="D36" s="5">
        <v>16.16</v>
      </c>
      <c r="E36" s="5">
        <v>15.86</v>
      </c>
      <c r="F36" s="5">
        <v>15.24</v>
      </c>
      <c r="H36" s="6"/>
    </row>
    <row r="37" spans="1:8" ht="15.5" x14ac:dyDescent="0.35">
      <c r="A37" s="4" t="s">
        <v>40</v>
      </c>
      <c r="B37" s="5">
        <v>13.4</v>
      </c>
      <c r="C37" s="5">
        <v>13.97</v>
      </c>
      <c r="D37" s="5">
        <v>13.02</v>
      </c>
      <c r="E37" s="5">
        <v>13.56</v>
      </c>
      <c r="F37" s="5">
        <v>13.07</v>
      </c>
      <c r="H37" s="6"/>
    </row>
    <row r="38" spans="1:8" ht="15.5" x14ac:dyDescent="0.35">
      <c r="A38" s="4" t="s">
        <v>41</v>
      </c>
      <c r="B38" s="5">
        <v>8.09</v>
      </c>
      <c r="C38" s="5">
        <v>8.3699999999999992</v>
      </c>
      <c r="D38" s="5">
        <v>7.88</v>
      </c>
      <c r="E38" s="5">
        <v>7.65</v>
      </c>
      <c r="F38" s="5">
        <v>7.43</v>
      </c>
      <c r="H38" s="6"/>
    </row>
    <row r="39" spans="1:8" ht="15.5" x14ac:dyDescent="0.35">
      <c r="A39" s="4" t="s">
        <v>42</v>
      </c>
      <c r="B39" s="5">
        <v>8.83</v>
      </c>
      <c r="C39" s="5">
        <v>9.06</v>
      </c>
      <c r="D39" s="5">
        <v>8.49</v>
      </c>
      <c r="E39" s="5">
        <v>8.4600000000000009</v>
      </c>
      <c r="F39" s="5">
        <v>7.84</v>
      </c>
      <c r="H39" s="6"/>
    </row>
    <row r="40" spans="1:8" ht="15.5" x14ac:dyDescent="0.35">
      <c r="A40" s="4" t="s">
        <v>43</v>
      </c>
      <c r="B40" s="5">
        <v>145.66999999999999</v>
      </c>
      <c r="C40" s="5">
        <v>152.49</v>
      </c>
      <c r="D40" s="5">
        <v>138.21</v>
      </c>
      <c r="E40" s="5">
        <v>136.37</v>
      </c>
      <c r="F40" s="5">
        <v>116.62</v>
      </c>
      <c r="H40" s="6"/>
    </row>
    <row r="41" spans="1:8" ht="15.5" x14ac:dyDescent="0.35">
      <c r="A41" s="4" t="s">
        <v>44</v>
      </c>
      <c r="B41" s="5">
        <v>8.1199999999999992</v>
      </c>
      <c r="C41" s="5">
        <v>8.6300000000000008</v>
      </c>
      <c r="D41" s="5">
        <v>8.0500000000000007</v>
      </c>
      <c r="E41" s="5">
        <v>7.1</v>
      </c>
      <c r="F41" s="5">
        <v>6.59</v>
      </c>
      <c r="H41" s="6"/>
    </row>
    <row r="42" spans="1:8" ht="15.5" hidden="1" x14ac:dyDescent="0.35">
      <c r="A42" s="4" t="s">
        <v>45</v>
      </c>
      <c r="B42" s="5">
        <v>4419.1000000000004</v>
      </c>
      <c r="C42" s="5">
        <v>4572.7299999999996</v>
      </c>
      <c r="D42" s="5">
        <v>4181.29</v>
      </c>
      <c r="E42" s="5">
        <v>4188.8100000000004</v>
      </c>
      <c r="F42" s="5">
        <v>3982.69</v>
      </c>
      <c r="H42" s="6"/>
    </row>
    <row r="43" spans="1:8" ht="15.5" x14ac:dyDescent="0.35">
      <c r="H43" s="6"/>
    </row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zoomScale="95" zoomScaleNormal="95" workbookViewId="0">
      <selection activeCell="F7" sqref="F7"/>
    </sheetView>
  </sheetViews>
  <sheetFormatPr defaultColWidth="11.25" defaultRowHeight="15" customHeight="1" x14ac:dyDescent="0.35"/>
  <cols>
    <col min="1" max="1" width="26.58203125" customWidth="1"/>
    <col min="2" max="6" width="10.08203125" customWidth="1"/>
    <col min="7" max="26" width="8.5" customWidth="1"/>
  </cols>
  <sheetData>
    <row r="1" spans="1:6" ht="15.5" x14ac:dyDescent="0.35">
      <c r="A1" s="38" t="s">
        <v>46</v>
      </c>
      <c r="B1" s="39"/>
      <c r="C1" s="39"/>
      <c r="D1" s="39"/>
      <c r="E1" s="39"/>
      <c r="F1" s="40"/>
    </row>
    <row r="2" spans="1:6" ht="15.5" x14ac:dyDescent="0.35">
      <c r="A2" s="1"/>
      <c r="B2" s="1"/>
      <c r="C2" s="1"/>
      <c r="D2" s="1"/>
      <c r="E2" s="1"/>
      <c r="F2" s="1"/>
    </row>
    <row r="3" spans="1:6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5.5" x14ac:dyDescent="0.35">
      <c r="A4" s="4" t="s">
        <v>7</v>
      </c>
      <c r="B4" s="5">
        <v>14.54</v>
      </c>
      <c r="C4" s="5">
        <v>15.11</v>
      </c>
      <c r="D4" s="5">
        <v>13.8</v>
      </c>
      <c r="E4" s="5">
        <v>13.65</v>
      </c>
      <c r="F4" s="5">
        <v>13.08</v>
      </c>
    </row>
    <row r="5" spans="1:6" ht="15.5" x14ac:dyDescent="0.35">
      <c r="A5" s="4" t="s">
        <v>8</v>
      </c>
      <c r="B5" s="5">
        <v>9.9499999999999993</v>
      </c>
      <c r="C5" s="5">
        <v>10.26</v>
      </c>
      <c r="D5" s="5">
        <v>9.32</v>
      </c>
      <c r="E5" s="5">
        <v>9.5299999999999994</v>
      </c>
      <c r="F5" s="5">
        <v>9.11</v>
      </c>
    </row>
    <row r="6" spans="1:6" ht="15.5" x14ac:dyDescent="0.35">
      <c r="A6" s="4" t="s">
        <v>9</v>
      </c>
      <c r="B6" s="5">
        <v>11.62</v>
      </c>
      <c r="C6" s="5">
        <v>12.14</v>
      </c>
      <c r="D6" s="5">
        <v>10.96</v>
      </c>
      <c r="E6" s="5">
        <v>10.63</v>
      </c>
      <c r="F6" s="5">
        <v>10.5</v>
      </c>
    </row>
    <row r="7" spans="1:6" ht="15.5" x14ac:dyDescent="0.35">
      <c r="A7" s="4" t="s">
        <v>10</v>
      </c>
      <c r="B7" s="5">
        <v>7.33</v>
      </c>
      <c r="C7" s="5">
        <v>7.51</v>
      </c>
      <c r="D7" s="5">
        <v>6.71</v>
      </c>
      <c r="E7" s="5">
        <v>6.53</v>
      </c>
      <c r="F7" s="5">
        <v>6.28</v>
      </c>
    </row>
    <row r="8" spans="1:6" ht="15.5" x14ac:dyDescent="0.35">
      <c r="A8" s="4" t="s">
        <v>11</v>
      </c>
      <c r="B8" s="5">
        <v>9.33</v>
      </c>
      <c r="C8" s="5">
        <v>9.65</v>
      </c>
      <c r="D8" s="5">
        <v>8.7100000000000009</v>
      </c>
      <c r="E8" s="5">
        <v>8.69</v>
      </c>
      <c r="F8" s="5">
        <v>8.16</v>
      </c>
    </row>
    <row r="9" spans="1:6" ht="15.5" x14ac:dyDescent="0.35">
      <c r="A9" s="4" t="s">
        <v>12</v>
      </c>
      <c r="B9" s="5">
        <v>11.4</v>
      </c>
      <c r="C9" s="5">
        <v>11.64</v>
      </c>
      <c r="D9" s="5">
        <v>10.65</v>
      </c>
      <c r="E9" s="5">
        <v>10.72</v>
      </c>
      <c r="F9" s="5">
        <v>9.9499999999999993</v>
      </c>
    </row>
    <row r="10" spans="1:6" ht="15.5" x14ac:dyDescent="0.35">
      <c r="A10" s="4" t="s">
        <v>13</v>
      </c>
      <c r="B10" s="5">
        <v>10.15</v>
      </c>
      <c r="C10" s="5">
        <v>10.5</v>
      </c>
      <c r="D10" s="5">
        <v>9.5500000000000007</v>
      </c>
      <c r="E10" s="5">
        <v>9.4499999999999993</v>
      </c>
      <c r="F10" s="5">
        <v>8.98</v>
      </c>
    </row>
    <row r="11" spans="1:6" ht="15.5" x14ac:dyDescent="0.35">
      <c r="A11" s="4" t="s">
        <v>14</v>
      </c>
      <c r="B11" s="5">
        <v>9.83</v>
      </c>
      <c r="C11" s="5">
        <v>10.050000000000001</v>
      </c>
      <c r="D11" s="5">
        <v>9.06</v>
      </c>
      <c r="E11" s="5">
        <v>8.93</v>
      </c>
      <c r="F11" s="5">
        <v>8.65</v>
      </c>
    </row>
    <row r="12" spans="1:6" ht="15.5" x14ac:dyDescent="0.35">
      <c r="A12" s="4" t="s">
        <v>15</v>
      </c>
      <c r="B12" s="5">
        <v>10.09</v>
      </c>
      <c r="C12" s="5">
        <v>10.41</v>
      </c>
      <c r="D12" s="5">
        <v>9.39</v>
      </c>
      <c r="E12" s="5">
        <v>9.51</v>
      </c>
      <c r="F12" s="5">
        <v>9.01</v>
      </c>
    </row>
    <row r="13" spans="1:6" ht="15.5" x14ac:dyDescent="0.35">
      <c r="A13" s="4" t="s">
        <v>16</v>
      </c>
      <c r="B13" s="5">
        <v>8.06</v>
      </c>
      <c r="C13" s="5">
        <v>8.07</v>
      </c>
      <c r="D13" s="5">
        <v>7.51</v>
      </c>
      <c r="E13" s="5">
        <v>7.34</v>
      </c>
      <c r="F13" s="5">
        <v>6.54</v>
      </c>
    </row>
    <row r="14" spans="1:6" ht="15.5" x14ac:dyDescent="0.35">
      <c r="A14" s="4" t="s">
        <v>17</v>
      </c>
      <c r="B14" s="5">
        <v>14.17</v>
      </c>
      <c r="C14" s="5">
        <v>14.73</v>
      </c>
      <c r="D14" s="5">
        <v>13.47</v>
      </c>
      <c r="E14" s="5">
        <v>13.34</v>
      </c>
      <c r="F14" s="5">
        <v>12.6</v>
      </c>
    </row>
    <row r="15" spans="1:6" ht="15.5" x14ac:dyDescent="0.35">
      <c r="A15" s="4" t="s">
        <v>18</v>
      </c>
      <c r="B15" s="5">
        <v>12.22</v>
      </c>
      <c r="C15" s="5">
        <v>12.63</v>
      </c>
      <c r="D15" s="5">
        <v>11.78</v>
      </c>
      <c r="E15" s="5">
        <v>11.9</v>
      </c>
      <c r="F15" s="5">
        <v>11.51</v>
      </c>
    </row>
    <row r="16" spans="1:6" ht="15.5" x14ac:dyDescent="0.35">
      <c r="A16" s="4" t="s">
        <v>19</v>
      </c>
      <c r="B16" s="5">
        <v>18.61</v>
      </c>
      <c r="C16" s="5">
        <v>18.91</v>
      </c>
      <c r="D16" s="5">
        <v>17.12</v>
      </c>
      <c r="E16" s="5">
        <v>17.190000000000001</v>
      </c>
      <c r="F16" s="5">
        <v>16.45</v>
      </c>
    </row>
    <row r="17" spans="1:6" ht="15.5" x14ac:dyDescent="0.35">
      <c r="A17" s="4" t="s">
        <v>20</v>
      </c>
      <c r="B17" s="5">
        <v>9.26</v>
      </c>
      <c r="C17" s="5">
        <v>9.6999999999999993</v>
      </c>
      <c r="D17" s="5">
        <v>8.9600000000000009</v>
      </c>
      <c r="E17" s="5">
        <v>9.24</v>
      </c>
      <c r="F17" s="5">
        <v>8.6300000000000008</v>
      </c>
    </row>
    <row r="18" spans="1:6" ht="15.5" x14ac:dyDescent="0.35">
      <c r="A18" s="4" t="s">
        <v>21</v>
      </c>
      <c r="B18" s="5">
        <v>5.59</v>
      </c>
      <c r="C18" s="5">
        <v>5.93</v>
      </c>
      <c r="D18" s="5">
        <v>5.36</v>
      </c>
      <c r="E18" s="5">
        <v>5</v>
      </c>
      <c r="F18" s="5">
        <v>4.53</v>
      </c>
    </row>
    <row r="19" spans="1:6" ht="15.5" x14ac:dyDescent="0.35">
      <c r="A19" s="4" t="s">
        <v>22</v>
      </c>
      <c r="B19" s="5">
        <v>10.57</v>
      </c>
      <c r="C19" s="5">
        <v>10.62</v>
      </c>
      <c r="D19" s="5">
        <v>9.7100000000000009</v>
      </c>
      <c r="E19" s="5">
        <v>9.8000000000000007</v>
      </c>
      <c r="F19" s="5">
        <v>9.3699999999999992</v>
      </c>
    </row>
    <row r="20" spans="1:6" ht="15.5" x14ac:dyDescent="0.35">
      <c r="A20" s="4" t="s">
        <v>23</v>
      </c>
      <c r="B20" s="5">
        <v>9.94</v>
      </c>
      <c r="C20" s="5">
        <v>10</v>
      </c>
      <c r="D20" s="5">
        <v>9.0399999999999991</v>
      </c>
      <c r="E20" s="5">
        <v>9.15</v>
      </c>
      <c r="F20" s="5">
        <v>8.6</v>
      </c>
    </row>
    <row r="21" spans="1:6" ht="15.5" x14ac:dyDescent="0.35">
      <c r="A21" s="4" t="s">
        <v>24</v>
      </c>
      <c r="B21" s="5">
        <v>11.62</v>
      </c>
      <c r="C21" s="5">
        <v>11.85</v>
      </c>
      <c r="D21" s="5">
        <v>10.7</v>
      </c>
      <c r="E21" s="5">
        <v>10.89</v>
      </c>
      <c r="F21" s="5">
        <v>10.17</v>
      </c>
    </row>
    <row r="22" spans="1:6" ht="15.5" x14ac:dyDescent="0.35">
      <c r="A22" s="4" t="s">
        <v>25</v>
      </c>
      <c r="B22" s="5">
        <v>11.46</v>
      </c>
      <c r="C22" s="5">
        <v>11.91</v>
      </c>
      <c r="D22" s="5">
        <v>10.79</v>
      </c>
      <c r="E22" s="5">
        <v>11.04</v>
      </c>
      <c r="F22" s="5">
        <v>10.63</v>
      </c>
    </row>
    <row r="23" spans="1:6" ht="15.5" x14ac:dyDescent="0.35">
      <c r="A23" s="4" t="s">
        <v>26</v>
      </c>
      <c r="B23" s="5">
        <v>10.35</v>
      </c>
      <c r="C23" s="5">
        <v>10.66</v>
      </c>
      <c r="D23" s="5">
        <v>9.84</v>
      </c>
      <c r="E23" s="5">
        <v>9.8000000000000007</v>
      </c>
      <c r="F23" s="5">
        <v>9.32</v>
      </c>
    </row>
    <row r="24" spans="1:6" ht="15.5" x14ac:dyDescent="0.35">
      <c r="A24" s="4" t="s">
        <v>27</v>
      </c>
      <c r="B24" s="5">
        <v>15.44</v>
      </c>
      <c r="C24" s="5">
        <v>15.57</v>
      </c>
      <c r="D24" s="5">
        <v>14.15</v>
      </c>
      <c r="E24" s="5">
        <v>14.4</v>
      </c>
      <c r="F24" s="5">
        <v>13.81</v>
      </c>
    </row>
    <row r="25" spans="1:6" ht="15.5" x14ac:dyDescent="0.35">
      <c r="A25" s="4" t="s">
        <v>28</v>
      </c>
      <c r="B25" s="5">
        <v>12.87</v>
      </c>
      <c r="C25" s="5">
        <v>13.27</v>
      </c>
      <c r="D25" s="5">
        <v>12.21</v>
      </c>
      <c r="E25" s="5">
        <v>12.18</v>
      </c>
      <c r="F25" s="5">
        <v>11.69</v>
      </c>
    </row>
    <row r="26" spans="1:6" ht="15.5" x14ac:dyDescent="0.35">
      <c r="A26" s="4" t="s">
        <v>29</v>
      </c>
      <c r="B26" s="5">
        <v>15.91</v>
      </c>
      <c r="C26" s="5">
        <v>16.309999999999999</v>
      </c>
      <c r="D26" s="5">
        <v>15.02</v>
      </c>
      <c r="E26" s="5">
        <v>14.91</v>
      </c>
      <c r="F26" s="5">
        <v>14.36</v>
      </c>
    </row>
    <row r="27" spans="1:6" ht="15.5" x14ac:dyDescent="0.35">
      <c r="A27" s="4" t="s">
        <v>30</v>
      </c>
      <c r="B27" s="5">
        <v>13.85</v>
      </c>
      <c r="C27" s="5">
        <v>13.86</v>
      </c>
      <c r="D27" s="5">
        <v>12.53</v>
      </c>
      <c r="E27" s="5">
        <v>12.42</v>
      </c>
      <c r="F27" s="5">
        <v>12.16</v>
      </c>
    </row>
    <row r="28" spans="1:6" ht="15.5" x14ac:dyDescent="0.35">
      <c r="A28" s="4" t="s">
        <v>31</v>
      </c>
      <c r="B28" s="5">
        <v>12.4</v>
      </c>
      <c r="C28" s="5">
        <v>12.42</v>
      </c>
      <c r="D28" s="5">
        <v>11.06</v>
      </c>
      <c r="E28" s="5">
        <v>10.96</v>
      </c>
      <c r="F28" s="5">
        <v>10.32</v>
      </c>
    </row>
    <row r="29" spans="1:6" ht="15.5" x14ac:dyDescent="0.35">
      <c r="A29" s="4" t="s">
        <v>32</v>
      </c>
      <c r="B29" s="5">
        <v>20.56</v>
      </c>
      <c r="C29" s="5">
        <v>21.57</v>
      </c>
      <c r="D29" s="5">
        <v>19.440000000000001</v>
      </c>
      <c r="E29" s="5">
        <v>19.350000000000001</v>
      </c>
      <c r="F29" s="5">
        <v>18.66</v>
      </c>
    </row>
    <row r="30" spans="1:6" ht="15.5" x14ac:dyDescent="0.35">
      <c r="A30" s="4" t="s">
        <v>33</v>
      </c>
      <c r="B30" s="5">
        <v>22.78</v>
      </c>
      <c r="C30" s="5">
        <v>23.76</v>
      </c>
      <c r="D30" s="5">
        <v>21.61</v>
      </c>
      <c r="E30" s="5">
        <v>21.76</v>
      </c>
      <c r="F30" s="5">
        <v>20.83</v>
      </c>
    </row>
    <row r="31" spans="1:6" ht="15.5" x14ac:dyDescent="0.35">
      <c r="A31" s="4" t="s">
        <v>34</v>
      </c>
      <c r="B31" s="5">
        <v>14.6</v>
      </c>
      <c r="C31" s="5">
        <v>15.3</v>
      </c>
      <c r="D31" s="5">
        <v>13.93</v>
      </c>
      <c r="E31" s="5">
        <v>13.85</v>
      </c>
      <c r="F31" s="5">
        <v>13.41</v>
      </c>
    </row>
    <row r="32" spans="1:6" ht="15.5" x14ac:dyDescent="0.35">
      <c r="A32" s="4" t="s">
        <v>35</v>
      </c>
      <c r="B32" s="5">
        <v>20.18</v>
      </c>
      <c r="C32" s="5">
        <v>20.51</v>
      </c>
      <c r="D32" s="5">
        <v>18.760000000000002</v>
      </c>
      <c r="E32" s="5">
        <v>18.7</v>
      </c>
      <c r="F32" s="5">
        <v>17.78</v>
      </c>
    </row>
    <row r="33" spans="1:6" ht="15.5" x14ac:dyDescent="0.35">
      <c r="A33" s="4" t="s">
        <v>36</v>
      </c>
      <c r="B33" s="5">
        <v>7.69</v>
      </c>
      <c r="C33" s="5">
        <v>7.75</v>
      </c>
      <c r="D33" s="5">
        <v>7.23</v>
      </c>
      <c r="E33" s="5">
        <v>7.15</v>
      </c>
      <c r="F33" s="5">
        <v>6.51</v>
      </c>
    </row>
    <row r="34" spans="1:6" ht="15.5" x14ac:dyDescent="0.35">
      <c r="A34" s="4" t="s">
        <v>37</v>
      </c>
      <c r="B34" s="5">
        <v>7.78</v>
      </c>
      <c r="C34" s="5">
        <v>7.89</v>
      </c>
      <c r="D34" s="5">
        <v>7.37</v>
      </c>
      <c r="E34" s="5">
        <v>7.3</v>
      </c>
      <c r="F34" s="5">
        <v>6.75</v>
      </c>
    </row>
    <row r="35" spans="1:6" ht="15.5" x14ac:dyDescent="0.35">
      <c r="A35" s="4" t="s">
        <v>38</v>
      </c>
      <c r="B35" s="5">
        <v>4.4400000000000004</v>
      </c>
      <c r="C35" s="5">
        <v>4.62</v>
      </c>
      <c r="D35" s="5">
        <v>4.37</v>
      </c>
      <c r="E35" s="5">
        <v>4.26</v>
      </c>
      <c r="F35" s="5">
        <v>3.91</v>
      </c>
    </row>
    <row r="36" spans="1:6" ht="15.5" x14ac:dyDescent="0.35">
      <c r="A36" s="4" t="s">
        <v>39</v>
      </c>
      <c r="B36" s="5">
        <v>7.43</v>
      </c>
      <c r="C36" s="5">
        <v>7.44</v>
      </c>
      <c r="D36" s="5">
        <v>6.65</v>
      </c>
      <c r="E36" s="5">
        <v>6.48</v>
      </c>
      <c r="F36" s="5">
        <v>6.18</v>
      </c>
    </row>
    <row r="37" spans="1:6" ht="15.5" x14ac:dyDescent="0.35">
      <c r="A37" s="4" t="s">
        <v>40</v>
      </c>
      <c r="B37" s="5">
        <v>6.66</v>
      </c>
      <c r="C37" s="5">
        <v>6.88</v>
      </c>
      <c r="D37" s="5">
        <v>6.37</v>
      </c>
      <c r="E37" s="5">
        <v>6.6</v>
      </c>
      <c r="F37" s="5">
        <v>6.32</v>
      </c>
    </row>
    <row r="38" spans="1:6" ht="15.5" x14ac:dyDescent="0.35">
      <c r="A38" s="4" t="s">
        <v>41</v>
      </c>
      <c r="B38" s="5">
        <v>6.24</v>
      </c>
      <c r="C38" s="5">
        <v>6.39</v>
      </c>
      <c r="D38" s="5">
        <v>5.98</v>
      </c>
      <c r="E38" s="5">
        <v>5.77</v>
      </c>
      <c r="F38" s="5">
        <v>5.57</v>
      </c>
    </row>
    <row r="39" spans="1:6" ht="15.5" x14ac:dyDescent="0.35">
      <c r="A39" s="4" t="s">
        <v>42</v>
      </c>
      <c r="B39" s="5">
        <v>4.9800000000000004</v>
      </c>
      <c r="C39" s="5">
        <v>5.09</v>
      </c>
      <c r="D39" s="5">
        <v>4.76</v>
      </c>
      <c r="E39" s="5">
        <v>4.74</v>
      </c>
      <c r="F39" s="5">
        <v>4.38</v>
      </c>
    </row>
    <row r="40" spans="1:6" ht="15.5" x14ac:dyDescent="0.35">
      <c r="A40" s="4" t="s">
        <v>43</v>
      </c>
      <c r="B40" s="5">
        <v>5.0199999999999996</v>
      </c>
      <c r="C40" s="5">
        <v>5.23</v>
      </c>
      <c r="D40" s="5">
        <v>4.72</v>
      </c>
      <c r="E40" s="5">
        <v>4.6500000000000004</v>
      </c>
      <c r="F40" s="5">
        <v>3.96</v>
      </c>
    </row>
    <row r="41" spans="1:6" ht="15.5" x14ac:dyDescent="0.35">
      <c r="A41" s="4" t="s">
        <v>44</v>
      </c>
      <c r="B41" s="5">
        <v>3.89</v>
      </c>
      <c r="C41" s="5">
        <v>4.09</v>
      </c>
      <c r="D41" s="5">
        <v>3.79</v>
      </c>
      <c r="E41" s="5">
        <v>3.31</v>
      </c>
      <c r="F41" s="5">
        <v>3.06</v>
      </c>
    </row>
    <row r="42" spans="1:6" ht="15.5" hidden="1" x14ac:dyDescent="0.35">
      <c r="A42" s="4" t="s">
        <v>45</v>
      </c>
      <c r="B42" s="5">
        <v>11.09</v>
      </c>
      <c r="C42" s="5">
        <v>11.4</v>
      </c>
      <c r="D42" s="5">
        <v>10.38</v>
      </c>
      <c r="E42" s="5">
        <v>10.35</v>
      </c>
      <c r="F42" s="5">
        <v>9.7899999999999991</v>
      </c>
    </row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"/>
  <sheetViews>
    <sheetView topLeftCell="A5" zoomScale="86" zoomScaleNormal="160" workbookViewId="0">
      <selection activeCell="F7" sqref="F7"/>
    </sheetView>
  </sheetViews>
  <sheetFormatPr defaultColWidth="11.25" defaultRowHeight="15" customHeight="1" x14ac:dyDescent="0.35"/>
  <cols>
    <col min="1" max="1" width="26.58203125" customWidth="1"/>
    <col min="2" max="6" width="10.08203125" customWidth="1"/>
    <col min="7" max="26" width="8.5" customWidth="1"/>
  </cols>
  <sheetData>
    <row r="1" spans="1:13" ht="15.5" x14ac:dyDescent="0.35">
      <c r="A1" s="38" t="s">
        <v>47</v>
      </c>
      <c r="B1" s="39"/>
      <c r="C1" s="39"/>
      <c r="D1" s="39"/>
      <c r="E1" s="39"/>
      <c r="F1" s="40"/>
    </row>
    <row r="2" spans="1:13" ht="15.5" x14ac:dyDescent="0.35">
      <c r="A2" s="1"/>
      <c r="B2" s="1"/>
      <c r="C2" s="1"/>
      <c r="D2" s="1"/>
      <c r="E2" s="1"/>
      <c r="F2" s="1"/>
    </row>
    <row r="3" spans="1:13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3" ht="15.5" x14ac:dyDescent="0.35">
      <c r="A4" s="4" t="s">
        <v>7</v>
      </c>
      <c r="B4" s="7">
        <v>296271</v>
      </c>
      <c r="C4" s="7">
        <v>309655</v>
      </c>
      <c r="D4" s="7">
        <v>327758</v>
      </c>
      <c r="E4" s="7">
        <v>352606</v>
      </c>
      <c r="F4" s="7">
        <v>370643</v>
      </c>
    </row>
    <row r="5" spans="1:13" ht="15.5" x14ac:dyDescent="0.35">
      <c r="A5" s="4" t="s">
        <v>8</v>
      </c>
      <c r="B5" s="7">
        <v>326205</v>
      </c>
      <c r="C5" s="7">
        <v>341090</v>
      </c>
      <c r="D5" s="7">
        <v>362461</v>
      </c>
      <c r="E5" s="7">
        <v>395069</v>
      </c>
      <c r="F5" s="7">
        <v>413619</v>
      </c>
      <c r="I5" s="23" t="s">
        <v>2</v>
      </c>
      <c r="J5" s="23" t="s">
        <v>3</v>
      </c>
      <c r="K5" s="23" t="s">
        <v>4</v>
      </c>
      <c r="L5" s="23" t="s">
        <v>5</v>
      </c>
      <c r="M5" s="23" t="s">
        <v>6</v>
      </c>
    </row>
    <row r="6" spans="1:13" ht="15.5" x14ac:dyDescent="0.35">
      <c r="A6" s="4" t="s">
        <v>9</v>
      </c>
      <c r="B6" s="7">
        <v>340915</v>
      </c>
      <c r="C6" s="7">
        <v>358831</v>
      </c>
      <c r="D6" s="7">
        <v>381448</v>
      </c>
      <c r="E6" s="7">
        <v>411527</v>
      </c>
      <c r="F6" s="7">
        <v>434146</v>
      </c>
      <c r="H6" t="s">
        <v>164</v>
      </c>
      <c r="I6" s="24">
        <v>416001</v>
      </c>
      <c r="J6" s="24">
        <v>429133</v>
      </c>
      <c r="K6" s="24">
        <v>460909</v>
      </c>
      <c r="L6" s="24">
        <v>507286</v>
      </c>
      <c r="M6" s="24">
        <v>536122</v>
      </c>
    </row>
    <row r="7" spans="1:13" ht="15.5" x14ac:dyDescent="0.35">
      <c r="A7" s="4" t="s">
        <v>10</v>
      </c>
      <c r="B7" s="7">
        <v>362213</v>
      </c>
      <c r="C7" s="7">
        <v>374183</v>
      </c>
      <c r="D7" s="7">
        <v>391888</v>
      </c>
      <c r="E7" s="7">
        <v>423875</v>
      </c>
      <c r="F7" s="7">
        <v>447793</v>
      </c>
      <c r="H7" s="4" t="s">
        <v>10</v>
      </c>
      <c r="I7" s="22">
        <v>362213</v>
      </c>
      <c r="J7" s="22">
        <v>374183</v>
      </c>
      <c r="K7" s="22">
        <v>391888</v>
      </c>
      <c r="L7" s="22">
        <v>423875</v>
      </c>
      <c r="M7" s="22">
        <v>447793</v>
      </c>
    </row>
    <row r="8" spans="1:13" ht="15.5" x14ac:dyDescent="0.35">
      <c r="A8" s="4" t="s">
        <v>11</v>
      </c>
      <c r="B8" s="7">
        <v>325675</v>
      </c>
      <c r="C8" s="7">
        <v>335573</v>
      </c>
      <c r="D8" s="7">
        <v>355511</v>
      </c>
      <c r="E8" s="7">
        <v>387733</v>
      </c>
      <c r="F8" s="7">
        <v>408399</v>
      </c>
    </row>
    <row r="9" spans="1:13" ht="15.5" x14ac:dyDescent="0.35">
      <c r="A9" s="4" t="s">
        <v>12</v>
      </c>
      <c r="B9" s="7">
        <v>324215</v>
      </c>
      <c r="C9" s="7">
        <v>335990</v>
      </c>
      <c r="D9" s="7">
        <v>353033</v>
      </c>
      <c r="E9" s="7">
        <v>385874</v>
      </c>
      <c r="F9" s="7">
        <v>403621</v>
      </c>
    </row>
    <row r="10" spans="1:13" ht="15.5" x14ac:dyDescent="0.35">
      <c r="A10" s="4" t="s">
        <v>13</v>
      </c>
      <c r="B10" s="7">
        <v>338156</v>
      </c>
      <c r="C10" s="7">
        <v>348695</v>
      </c>
      <c r="D10" s="7">
        <v>367579</v>
      </c>
      <c r="E10" s="7">
        <v>399647</v>
      </c>
      <c r="F10" s="7">
        <v>420334</v>
      </c>
    </row>
    <row r="11" spans="1:13" ht="15.5" x14ac:dyDescent="0.35">
      <c r="A11" s="4" t="s">
        <v>14</v>
      </c>
      <c r="B11" s="7">
        <v>318196</v>
      </c>
      <c r="C11" s="7">
        <v>334906</v>
      </c>
      <c r="D11" s="7">
        <v>352776</v>
      </c>
      <c r="E11" s="7">
        <v>386995</v>
      </c>
      <c r="F11" s="7">
        <v>405136</v>
      </c>
    </row>
    <row r="12" spans="1:13" ht="15.5" x14ac:dyDescent="0.35">
      <c r="A12" s="4" t="s">
        <v>15</v>
      </c>
      <c r="B12" s="7">
        <v>365295</v>
      </c>
      <c r="C12" s="7">
        <v>380397</v>
      </c>
      <c r="D12" s="7">
        <v>400961</v>
      </c>
      <c r="E12" s="7">
        <v>441171</v>
      </c>
      <c r="F12" s="7">
        <v>459043</v>
      </c>
    </row>
    <row r="13" spans="1:13" ht="15.5" x14ac:dyDescent="0.35">
      <c r="A13" s="4" t="s">
        <v>16</v>
      </c>
      <c r="B13" s="7">
        <v>373679</v>
      </c>
      <c r="C13" s="7">
        <v>387084</v>
      </c>
      <c r="D13" s="7">
        <v>414879</v>
      </c>
      <c r="E13" s="7">
        <v>448928</v>
      </c>
      <c r="F13" s="7">
        <v>470713</v>
      </c>
    </row>
    <row r="14" spans="1:13" ht="15.5" x14ac:dyDescent="0.35">
      <c r="A14" s="4" t="s">
        <v>17</v>
      </c>
      <c r="B14" s="7">
        <v>408352</v>
      </c>
      <c r="C14" s="7">
        <v>423150</v>
      </c>
      <c r="D14" s="7">
        <v>449760</v>
      </c>
      <c r="E14" s="7">
        <v>494000</v>
      </c>
      <c r="F14" s="7">
        <v>517741</v>
      </c>
    </row>
    <row r="15" spans="1:13" ht="15.5" x14ac:dyDescent="0.35">
      <c r="A15" s="4" t="s">
        <v>18</v>
      </c>
      <c r="B15" s="7">
        <v>322527</v>
      </c>
      <c r="C15" s="7">
        <v>336040</v>
      </c>
      <c r="D15" s="7">
        <v>356133</v>
      </c>
      <c r="E15" s="7">
        <v>396587</v>
      </c>
      <c r="F15" s="7">
        <v>413611</v>
      </c>
    </row>
    <row r="16" spans="1:13" ht="15.5" x14ac:dyDescent="0.35">
      <c r="A16" s="4" t="s">
        <v>19</v>
      </c>
      <c r="B16" s="7">
        <v>441258</v>
      </c>
      <c r="C16" s="7">
        <v>451395</v>
      </c>
      <c r="D16" s="7">
        <v>475713</v>
      </c>
      <c r="E16" s="7">
        <v>514274</v>
      </c>
      <c r="F16" s="7">
        <v>537724</v>
      </c>
    </row>
    <row r="17" spans="1:6" ht="15.5" x14ac:dyDescent="0.35">
      <c r="A17" s="4" t="s">
        <v>20</v>
      </c>
      <c r="B17" s="7">
        <v>355299</v>
      </c>
      <c r="C17" s="7">
        <v>368686</v>
      </c>
      <c r="D17" s="7">
        <v>394016</v>
      </c>
      <c r="E17" s="7">
        <v>429624</v>
      </c>
      <c r="F17" s="7">
        <v>450088</v>
      </c>
    </row>
    <row r="18" spans="1:6" ht="15.5" x14ac:dyDescent="0.35">
      <c r="A18" s="4" t="s">
        <v>21</v>
      </c>
      <c r="B18" s="7">
        <v>486421</v>
      </c>
      <c r="C18" s="7">
        <v>502524</v>
      </c>
      <c r="D18" s="7">
        <v>523213</v>
      </c>
      <c r="E18" s="7">
        <v>571696</v>
      </c>
      <c r="F18" s="7">
        <v>597284</v>
      </c>
    </row>
    <row r="19" spans="1:6" ht="15.5" x14ac:dyDescent="0.35">
      <c r="A19" s="4" t="s">
        <v>22</v>
      </c>
      <c r="B19" s="7">
        <v>406043</v>
      </c>
      <c r="C19" s="7">
        <v>417784</v>
      </c>
      <c r="D19" s="7">
        <v>445608</v>
      </c>
      <c r="E19" s="7">
        <v>486520</v>
      </c>
      <c r="F19" s="7">
        <v>508618</v>
      </c>
    </row>
    <row r="20" spans="1:6" ht="15.5" x14ac:dyDescent="0.35">
      <c r="A20" s="4" t="s">
        <v>23</v>
      </c>
      <c r="B20" s="7">
        <v>410116</v>
      </c>
      <c r="C20" s="7">
        <v>421172</v>
      </c>
      <c r="D20" s="7">
        <v>448830</v>
      </c>
      <c r="E20" s="7">
        <v>488754</v>
      </c>
      <c r="F20" s="7">
        <v>514170</v>
      </c>
    </row>
    <row r="21" spans="1:6" ht="15.5" x14ac:dyDescent="0.35">
      <c r="A21" s="4" t="s">
        <v>24</v>
      </c>
      <c r="B21" s="7">
        <v>428882</v>
      </c>
      <c r="C21" s="7">
        <v>446232</v>
      </c>
      <c r="D21" s="7">
        <v>474429</v>
      </c>
      <c r="E21" s="7">
        <v>513565</v>
      </c>
      <c r="F21" s="7">
        <v>539714</v>
      </c>
    </row>
    <row r="22" spans="1:6" ht="15.5" x14ac:dyDescent="0.35">
      <c r="A22" s="4" t="s">
        <v>25</v>
      </c>
      <c r="B22" s="7">
        <v>364638</v>
      </c>
      <c r="C22" s="7">
        <v>380287</v>
      </c>
      <c r="D22" s="7">
        <v>405127</v>
      </c>
      <c r="E22" s="7">
        <v>437296</v>
      </c>
      <c r="F22" s="7">
        <v>460205</v>
      </c>
    </row>
    <row r="23" spans="1:6" ht="15.5" x14ac:dyDescent="0.35">
      <c r="A23" s="4" t="s">
        <v>26</v>
      </c>
      <c r="B23" s="7">
        <v>354936</v>
      </c>
      <c r="C23" s="7">
        <v>371182</v>
      </c>
      <c r="D23" s="7">
        <v>396696</v>
      </c>
      <c r="E23" s="7">
        <v>431203</v>
      </c>
      <c r="F23" s="7">
        <v>455119</v>
      </c>
    </row>
    <row r="24" spans="1:6" ht="15.5" x14ac:dyDescent="0.35">
      <c r="A24" s="4" t="s">
        <v>27</v>
      </c>
      <c r="B24" s="7">
        <v>342556</v>
      </c>
      <c r="C24" s="7">
        <v>358663</v>
      </c>
      <c r="D24" s="7">
        <v>382301</v>
      </c>
      <c r="E24" s="7">
        <v>413947</v>
      </c>
      <c r="F24" s="7">
        <v>445865</v>
      </c>
    </row>
    <row r="25" spans="1:6" ht="15.5" x14ac:dyDescent="0.35">
      <c r="A25" s="4" t="s">
        <v>28</v>
      </c>
      <c r="B25" s="7">
        <v>362383</v>
      </c>
      <c r="C25" s="7">
        <v>380653</v>
      </c>
      <c r="D25" s="7">
        <v>403403</v>
      </c>
      <c r="E25" s="7">
        <v>435936</v>
      </c>
      <c r="F25" s="7">
        <v>471457</v>
      </c>
    </row>
    <row r="26" spans="1:6" ht="15.5" x14ac:dyDescent="0.35">
      <c r="A26" s="4" t="s">
        <v>29</v>
      </c>
      <c r="B26" s="7">
        <v>371465</v>
      </c>
      <c r="C26" s="7">
        <v>388176</v>
      </c>
      <c r="D26" s="7">
        <v>421287</v>
      </c>
      <c r="E26" s="7">
        <v>454336</v>
      </c>
      <c r="F26" s="7">
        <v>488131</v>
      </c>
    </row>
    <row r="27" spans="1:6" ht="15.5" x14ac:dyDescent="0.35">
      <c r="A27" s="4" t="s">
        <v>30</v>
      </c>
      <c r="B27" s="7">
        <v>397980</v>
      </c>
      <c r="C27" s="7">
        <v>419309</v>
      </c>
      <c r="D27" s="7">
        <v>446601</v>
      </c>
      <c r="E27" s="7">
        <v>481969</v>
      </c>
      <c r="F27" s="7">
        <v>524636</v>
      </c>
    </row>
    <row r="28" spans="1:6" ht="15.5" x14ac:dyDescent="0.35">
      <c r="A28" s="4" t="s">
        <v>31</v>
      </c>
      <c r="B28" s="7">
        <v>492628</v>
      </c>
      <c r="C28" s="7">
        <v>505499</v>
      </c>
      <c r="D28" s="7">
        <v>536544</v>
      </c>
      <c r="E28" s="7">
        <v>588316</v>
      </c>
      <c r="F28" s="7">
        <v>608828</v>
      </c>
    </row>
    <row r="29" spans="1:6" ht="15.5" x14ac:dyDescent="0.35">
      <c r="A29" s="4" t="s">
        <v>32</v>
      </c>
      <c r="B29" s="7">
        <v>418908</v>
      </c>
      <c r="C29" s="7">
        <v>432046</v>
      </c>
      <c r="D29" s="7">
        <v>458754</v>
      </c>
      <c r="E29" s="7">
        <v>503207</v>
      </c>
      <c r="F29" s="7">
        <v>547017</v>
      </c>
    </row>
    <row r="30" spans="1:6" ht="15.5" x14ac:dyDescent="0.35">
      <c r="A30" s="4" t="s">
        <v>33</v>
      </c>
      <c r="B30" s="7">
        <v>374908</v>
      </c>
      <c r="C30" s="7">
        <v>391032</v>
      </c>
      <c r="D30" s="7">
        <v>411661</v>
      </c>
      <c r="E30" s="7">
        <v>454716</v>
      </c>
      <c r="F30" s="7">
        <v>491753</v>
      </c>
    </row>
    <row r="31" spans="1:6" ht="15.5" x14ac:dyDescent="0.35">
      <c r="A31" s="4" t="s">
        <v>34</v>
      </c>
      <c r="B31" s="7">
        <v>357074</v>
      </c>
      <c r="C31" s="7">
        <v>368259</v>
      </c>
      <c r="D31" s="7">
        <v>392345</v>
      </c>
      <c r="E31" s="7">
        <v>431127</v>
      </c>
      <c r="F31" s="7">
        <v>467493</v>
      </c>
    </row>
    <row r="32" spans="1:6" ht="15.5" x14ac:dyDescent="0.35">
      <c r="A32" s="4" t="s">
        <v>35</v>
      </c>
      <c r="B32" s="7">
        <v>382491</v>
      </c>
      <c r="C32" s="7">
        <v>400960</v>
      </c>
      <c r="D32" s="7">
        <v>427882</v>
      </c>
      <c r="E32" s="7">
        <v>471860</v>
      </c>
      <c r="F32" s="7">
        <v>506569</v>
      </c>
    </row>
    <row r="33" spans="1:6" ht="15.5" x14ac:dyDescent="0.35">
      <c r="A33" s="4" t="s">
        <v>36</v>
      </c>
      <c r="B33" s="7">
        <v>493438</v>
      </c>
      <c r="C33" s="7">
        <v>506936</v>
      </c>
      <c r="D33" s="7">
        <v>537326</v>
      </c>
      <c r="E33" s="7">
        <v>587723</v>
      </c>
      <c r="F33" s="7">
        <v>621051</v>
      </c>
    </row>
    <row r="34" spans="1:6" ht="15.5" x14ac:dyDescent="0.35">
      <c r="A34" s="4" t="s">
        <v>37</v>
      </c>
      <c r="B34" s="7">
        <v>465868</v>
      </c>
      <c r="C34" s="7">
        <v>481229</v>
      </c>
      <c r="D34" s="7">
        <v>517363</v>
      </c>
      <c r="E34" s="7">
        <v>568280</v>
      </c>
      <c r="F34" s="7">
        <v>596105</v>
      </c>
    </row>
    <row r="35" spans="1:6" ht="15.5" x14ac:dyDescent="0.35">
      <c r="A35" s="4" t="s">
        <v>38</v>
      </c>
      <c r="B35" s="7">
        <v>554791</v>
      </c>
      <c r="C35" s="7">
        <v>570238</v>
      </c>
      <c r="D35" s="7">
        <v>609612</v>
      </c>
      <c r="E35" s="7">
        <v>674660</v>
      </c>
      <c r="F35" s="7">
        <v>706341</v>
      </c>
    </row>
    <row r="36" spans="1:6" ht="15.5" x14ac:dyDescent="0.35">
      <c r="A36" s="4" t="s">
        <v>39</v>
      </c>
      <c r="B36" s="7">
        <v>524528</v>
      </c>
      <c r="C36" s="7">
        <v>545955</v>
      </c>
      <c r="D36" s="7">
        <v>575195</v>
      </c>
      <c r="E36" s="7">
        <v>628380</v>
      </c>
      <c r="F36" s="7">
        <v>654409</v>
      </c>
    </row>
    <row r="37" spans="1:6" ht="15.5" x14ac:dyDescent="0.35">
      <c r="A37" s="4" t="s">
        <v>40</v>
      </c>
      <c r="B37" s="7">
        <v>441531</v>
      </c>
      <c r="C37" s="7">
        <v>461624</v>
      </c>
      <c r="D37" s="7">
        <v>486893</v>
      </c>
      <c r="E37" s="7">
        <v>529512</v>
      </c>
      <c r="F37" s="7">
        <v>554195</v>
      </c>
    </row>
    <row r="38" spans="1:6" ht="15.5" x14ac:dyDescent="0.35">
      <c r="A38" s="4" t="s">
        <v>41</v>
      </c>
      <c r="B38" s="7">
        <v>482016</v>
      </c>
      <c r="C38" s="7">
        <v>493452</v>
      </c>
      <c r="D38" s="7">
        <v>531804</v>
      </c>
      <c r="E38" s="7">
        <v>581006</v>
      </c>
      <c r="F38" s="7">
        <v>610968</v>
      </c>
    </row>
    <row r="39" spans="1:6" ht="15.5" x14ac:dyDescent="0.35">
      <c r="A39" s="4" t="s">
        <v>42</v>
      </c>
      <c r="B39" s="7">
        <v>497628</v>
      </c>
      <c r="C39" s="7">
        <v>514409</v>
      </c>
      <c r="D39" s="7">
        <v>551620</v>
      </c>
      <c r="E39" s="7">
        <v>605131</v>
      </c>
      <c r="F39" s="7">
        <v>637838</v>
      </c>
    </row>
    <row r="40" spans="1:6" ht="15.5" x14ac:dyDescent="0.35">
      <c r="A40" s="4" t="s">
        <v>43</v>
      </c>
      <c r="B40" s="7">
        <v>592137</v>
      </c>
      <c r="C40" s="7">
        <v>611466</v>
      </c>
      <c r="D40" s="7">
        <v>652540</v>
      </c>
      <c r="E40" s="7">
        <v>718370</v>
      </c>
      <c r="F40" s="7">
        <v>742678</v>
      </c>
    </row>
    <row r="41" spans="1:6" ht="15.5" x14ac:dyDescent="0.35">
      <c r="A41" s="4" t="s">
        <v>44</v>
      </c>
      <c r="B41" s="7">
        <v>509886</v>
      </c>
      <c r="C41" s="7">
        <v>522819</v>
      </c>
      <c r="D41" s="7">
        <v>564010</v>
      </c>
      <c r="E41" s="7">
        <v>613985</v>
      </c>
      <c r="F41" s="7">
        <v>642778</v>
      </c>
    </row>
    <row r="42" spans="1:6" ht="15.5" hidden="1" x14ac:dyDescent="0.35">
      <c r="A42" s="4" t="s">
        <v>45</v>
      </c>
      <c r="B42" s="7">
        <v>416001</v>
      </c>
      <c r="C42" s="7">
        <v>429133</v>
      </c>
      <c r="D42" s="7">
        <v>460909</v>
      </c>
      <c r="E42" s="7">
        <v>507286</v>
      </c>
      <c r="F42" s="7">
        <v>536122</v>
      </c>
    </row>
  </sheetData>
  <mergeCells count="1">
    <mergeCell ref="A1:F1"/>
  </mergeCells>
  <phoneticPr fontId="10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workbookViewId="0">
      <selection activeCell="F7" sqref="F7"/>
    </sheetView>
  </sheetViews>
  <sheetFormatPr defaultColWidth="11.25" defaultRowHeight="15" customHeight="1" x14ac:dyDescent="0.35"/>
  <cols>
    <col min="1" max="1" width="26.58203125" customWidth="1"/>
    <col min="2" max="6" width="10.08203125" customWidth="1"/>
    <col min="7" max="26" width="8.5" customWidth="1"/>
  </cols>
  <sheetData>
    <row r="1" spans="1:6" ht="15.5" x14ac:dyDescent="0.35">
      <c r="A1" s="38" t="s">
        <v>48</v>
      </c>
      <c r="B1" s="39"/>
      <c r="C1" s="39"/>
      <c r="D1" s="39"/>
      <c r="E1" s="39"/>
      <c r="F1" s="40"/>
    </row>
    <row r="2" spans="1:6" ht="15.5" x14ac:dyDescent="0.35">
      <c r="A2" s="1"/>
      <c r="B2" s="1"/>
      <c r="C2" s="1"/>
      <c r="D2" s="1"/>
      <c r="E2" s="1"/>
      <c r="F2" s="1"/>
    </row>
    <row r="3" spans="1:6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5.5" x14ac:dyDescent="0.35">
      <c r="A4" s="4" t="s">
        <v>7</v>
      </c>
      <c r="B4" s="5">
        <v>2.68</v>
      </c>
      <c r="C4" s="5">
        <v>1.66</v>
      </c>
      <c r="D4" s="5">
        <v>1.35</v>
      </c>
      <c r="E4" s="5">
        <v>1.73</v>
      </c>
      <c r="F4" s="5">
        <v>1.49</v>
      </c>
    </row>
    <row r="5" spans="1:6" ht="15.5" x14ac:dyDescent="0.35">
      <c r="A5" s="4" t="s">
        <v>8</v>
      </c>
      <c r="B5" s="5">
        <v>1.44</v>
      </c>
      <c r="C5" s="5">
        <v>1.08</v>
      </c>
      <c r="D5" s="5">
        <v>0.99</v>
      </c>
      <c r="E5" s="5">
        <v>1.1200000000000001</v>
      </c>
      <c r="F5" s="5">
        <v>1.02</v>
      </c>
    </row>
    <row r="6" spans="1:6" ht="15.5" x14ac:dyDescent="0.35">
      <c r="A6" s="4" t="s">
        <v>9</v>
      </c>
      <c r="B6" s="5">
        <v>1.48</v>
      </c>
      <c r="C6" s="5">
        <v>1.46</v>
      </c>
      <c r="D6" s="5">
        <v>1.38</v>
      </c>
      <c r="E6" s="5">
        <v>1.26</v>
      </c>
      <c r="F6" s="5">
        <v>1.43</v>
      </c>
    </row>
    <row r="7" spans="1:6" ht="15.5" x14ac:dyDescent="0.35">
      <c r="A7" s="4" t="s">
        <v>10</v>
      </c>
      <c r="B7" s="5">
        <v>0.72</v>
      </c>
      <c r="C7" s="5">
        <v>0.94</v>
      </c>
      <c r="D7" s="5">
        <v>0.66</v>
      </c>
      <c r="E7" s="5">
        <v>0.94</v>
      </c>
      <c r="F7" s="5">
        <v>0.6</v>
      </c>
    </row>
    <row r="8" spans="1:6" ht="15.5" x14ac:dyDescent="0.35">
      <c r="A8" s="4" t="s">
        <v>11</v>
      </c>
      <c r="B8" s="5">
        <v>1.35</v>
      </c>
      <c r="C8" s="5">
        <v>0.85</v>
      </c>
      <c r="D8" s="5">
        <v>1.33</v>
      </c>
      <c r="E8" s="5">
        <v>1.21</v>
      </c>
      <c r="F8" s="5">
        <v>0.8</v>
      </c>
    </row>
    <row r="9" spans="1:6" ht="15.5" x14ac:dyDescent="0.35">
      <c r="A9" s="4" t="s">
        <v>12</v>
      </c>
      <c r="B9" s="5">
        <v>1.55</v>
      </c>
      <c r="C9" s="5">
        <v>1.35</v>
      </c>
      <c r="D9" s="5">
        <v>1.67</v>
      </c>
      <c r="E9" s="5">
        <v>1.52</v>
      </c>
      <c r="F9" s="5">
        <v>1.22</v>
      </c>
    </row>
    <row r="10" spans="1:6" ht="15.5" x14ac:dyDescent="0.35">
      <c r="A10" s="4" t="s">
        <v>13</v>
      </c>
      <c r="B10" s="5">
        <v>1.37</v>
      </c>
      <c r="C10" s="5">
        <v>1.41</v>
      </c>
      <c r="D10" s="5">
        <v>0.92</v>
      </c>
      <c r="E10" s="5">
        <v>0.98</v>
      </c>
      <c r="F10" s="5">
        <v>0.98</v>
      </c>
    </row>
    <row r="11" spans="1:6" ht="15.5" x14ac:dyDescent="0.35">
      <c r="A11" s="4" t="s">
        <v>14</v>
      </c>
      <c r="B11" s="5">
        <v>1.1399999999999999</v>
      </c>
      <c r="C11" s="5">
        <v>1.57</v>
      </c>
      <c r="D11" s="5">
        <v>1.34</v>
      </c>
      <c r="E11" s="5">
        <v>1.41</v>
      </c>
      <c r="F11" s="5">
        <v>1.23</v>
      </c>
    </row>
    <row r="12" spans="1:6" ht="15.5" x14ac:dyDescent="0.35">
      <c r="A12" s="4" t="s">
        <v>15</v>
      </c>
      <c r="B12" s="5">
        <v>1.42</v>
      </c>
      <c r="C12" s="5">
        <v>1.58</v>
      </c>
      <c r="D12" s="5">
        <v>1.08</v>
      </c>
      <c r="E12" s="5">
        <v>1.17</v>
      </c>
      <c r="F12" s="5">
        <v>1.01</v>
      </c>
    </row>
    <row r="13" spans="1:6" ht="15.5" x14ac:dyDescent="0.35">
      <c r="A13" s="4" t="s">
        <v>16</v>
      </c>
      <c r="B13" s="5">
        <v>1.3</v>
      </c>
      <c r="C13" s="5">
        <v>1.32</v>
      </c>
      <c r="D13" s="5">
        <v>1.18</v>
      </c>
      <c r="E13" s="5">
        <v>0.89</v>
      </c>
      <c r="F13" s="5">
        <v>0.44</v>
      </c>
    </row>
    <row r="14" spans="1:6" ht="15.5" x14ac:dyDescent="0.35">
      <c r="A14" s="4" t="s">
        <v>17</v>
      </c>
      <c r="B14" s="5">
        <v>2.16</v>
      </c>
      <c r="C14" s="5">
        <v>2.19</v>
      </c>
      <c r="D14" s="5">
        <v>1.62</v>
      </c>
      <c r="E14" s="5">
        <v>2.06</v>
      </c>
      <c r="F14" s="5">
        <v>1.51</v>
      </c>
    </row>
    <row r="15" spans="1:6" ht="15.5" x14ac:dyDescent="0.35">
      <c r="A15" s="4" t="s">
        <v>18</v>
      </c>
      <c r="B15" s="5">
        <v>1.91</v>
      </c>
      <c r="C15" s="5">
        <v>2.08</v>
      </c>
      <c r="D15" s="5">
        <v>1.34</v>
      </c>
      <c r="E15" s="5">
        <v>1.59</v>
      </c>
      <c r="F15" s="5">
        <v>1.19</v>
      </c>
    </row>
    <row r="16" spans="1:6" ht="15.5" x14ac:dyDescent="0.35">
      <c r="A16" s="4" t="s">
        <v>19</v>
      </c>
      <c r="B16" s="5">
        <v>3.12</v>
      </c>
      <c r="C16" s="5">
        <v>3.26</v>
      </c>
      <c r="D16" s="5">
        <v>2.54</v>
      </c>
      <c r="E16" s="5">
        <v>2.87</v>
      </c>
      <c r="F16" s="5">
        <v>2.63</v>
      </c>
    </row>
    <row r="17" spans="1:6" ht="15.5" x14ac:dyDescent="0.35">
      <c r="A17" s="4" t="s">
        <v>20</v>
      </c>
      <c r="B17" s="5">
        <v>1.1499999999999999</v>
      </c>
      <c r="C17" s="5">
        <v>1.17</v>
      </c>
      <c r="D17" s="5">
        <v>1.29</v>
      </c>
      <c r="E17" s="5">
        <v>1.22</v>
      </c>
      <c r="F17" s="5">
        <v>1.0900000000000001</v>
      </c>
    </row>
    <row r="18" spans="1:6" ht="15.5" x14ac:dyDescent="0.35">
      <c r="A18" s="4" t="s">
        <v>21</v>
      </c>
      <c r="B18" s="5">
        <v>0.96</v>
      </c>
      <c r="C18" s="5">
        <v>0.95</v>
      </c>
      <c r="D18" s="5">
        <v>0.84</v>
      </c>
      <c r="E18" s="5">
        <v>0.71</v>
      </c>
      <c r="F18" s="5">
        <v>0.64</v>
      </c>
    </row>
    <row r="19" spans="1:6" ht="15.5" x14ac:dyDescent="0.35">
      <c r="A19" s="4" t="s">
        <v>22</v>
      </c>
      <c r="B19" s="5">
        <v>1.95</v>
      </c>
      <c r="C19" s="5">
        <v>1.59</v>
      </c>
      <c r="D19" s="5">
        <v>1.37</v>
      </c>
      <c r="E19" s="5">
        <v>1.73</v>
      </c>
      <c r="F19" s="5">
        <v>1.01</v>
      </c>
    </row>
    <row r="20" spans="1:6" ht="15.5" x14ac:dyDescent="0.35">
      <c r="A20" s="4" t="s">
        <v>23</v>
      </c>
      <c r="B20" s="5">
        <v>1.73</v>
      </c>
      <c r="C20" s="5">
        <v>1.55</v>
      </c>
      <c r="D20" s="5">
        <v>1.19</v>
      </c>
      <c r="E20" s="5">
        <v>1.1499999999999999</v>
      </c>
      <c r="F20" s="5">
        <v>0.9</v>
      </c>
    </row>
    <row r="21" spans="1:6" ht="15.5" x14ac:dyDescent="0.35">
      <c r="A21" s="4" t="s">
        <v>24</v>
      </c>
      <c r="B21" s="5">
        <v>1.62</v>
      </c>
      <c r="C21" s="5">
        <v>1.56</v>
      </c>
      <c r="D21" s="5">
        <v>1.48</v>
      </c>
      <c r="E21" s="5">
        <v>1.48</v>
      </c>
      <c r="F21" s="5">
        <v>1.04</v>
      </c>
    </row>
    <row r="22" spans="1:6" ht="15.5" x14ac:dyDescent="0.35">
      <c r="A22" s="4" t="s">
        <v>25</v>
      </c>
      <c r="B22" s="5">
        <v>1.63</v>
      </c>
      <c r="C22" s="5">
        <v>1.65</v>
      </c>
      <c r="D22" s="5">
        <v>1.67</v>
      </c>
      <c r="E22" s="5">
        <v>1.47</v>
      </c>
      <c r="F22" s="5">
        <v>1.4</v>
      </c>
    </row>
    <row r="23" spans="1:6" ht="15.5" x14ac:dyDescent="0.35">
      <c r="A23" s="4" t="s">
        <v>26</v>
      </c>
      <c r="B23" s="5">
        <v>1.2</v>
      </c>
      <c r="C23" s="5">
        <v>1.54</v>
      </c>
      <c r="D23" s="5">
        <v>1.55</v>
      </c>
      <c r="E23" s="5">
        <v>1.1000000000000001</v>
      </c>
      <c r="F23" s="5">
        <v>1.0900000000000001</v>
      </c>
    </row>
    <row r="24" spans="1:6" ht="15.5" x14ac:dyDescent="0.35">
      <c r="A24" s="4" t="s">
        <v>27</v>
      </c>
      <c r="B24" s="5">
        <v>2.37</v>
      </c>
      <c r="C24" s="5">
        <v>2.23</v>
      </c>
      <c r="D24" s="5">
        <v>1.66</v>
      </c>
      <c r="E24" s="5">
        <v>2.29</v>
      </c>
      <c r="F24" s="5">
        <v>2.2200000000000002</v>
      </c>
    </row>
    <row r="25" spans="1:6" ht="15.5" x14ac:dyDescent="0.35">
      <c r="A25" s="4" t="s">
        <v>28</v>
      </c>
      <c r="B25" s="5">
        <v>1.72</v>
      </c>
      <c r="C25" s="5">
        <v>1.88</v>
      </c>
      <c r="D25" s="5">
        <v>1.9</v>
      </c>
      <c r="E25" s="5">
        <v>1.94</v>
      </c>
      <c r="F25" s="5">
        <v>1.99</v>
      </c>
    </row>
    <row r="26" spans="1:6" ht="15.5" x14ac:dyDescent="0.35">
      <c r="A26" s="4" t="s">
        <v>29</v>
      </c>
      <c r="B26" s="5">
        <v>2.27</v>
      </c>
      <c r="C26" s="5">
        <v>3.26</v>
      </c>
      <c r="D26" s="5">
        <v>2.89</v>
      </c>
      <c r="E26" s="5">
        <v>1.95</v>
      </c>
      <c r="F26" s="5">
        <v>1.95</v>
      </c>
    </row>
    <row r="27" spans="1:6" ht="15.5" x14ac:dyDescent="0.35">
      <c r="A27" s="4" t="s">
        <v>30</v>
      </c>
      <c r="B27" s="5">
        <v>2.71</v>
      </c>
      <c r="C27" s="5">
        <v>2.7</v>
      </c>
      <c r="D27" s="5">
        <v>2.13</v>
      </c>
      <c r="E27" s="5">
        <v>1.73</v>
      </c>
      <c r="F27" s="5">
        <v>1.88</v>
      </c>
    </row>
    <row r="28" spans="1:6" ht="15.5" x14ac:dyDescent="0.35">
      <c r="A28" s="4" t="s">
        <v>31</v>
      </c>
      <c r="B28" s="5">
        <v>2.5099999999999998</v>
      </c>
      <c r="C28" s="5">
        <v>2.15</v>
      </c>
      <c r="D28" s="5">
        <v>2.17</v>
      </c>
      <c r="E28" s="5">
        <v>1.63</v>
      </c>
      <c r="F28" s="5">
        <v>1.58</v>
      </c>
    </row>
    <row r="29" spans="1:6" ht="15.5" x14ac:dyDescent="0.35">
      <c r="A29" s="4" t="s">
        <v>32</v>
      </c>
      <c r="B29" s="5">
        <v>4.25</v>
      </c>
      <c r="C29" s="5">
        <v>3.51</v>
      </c>
      <c r="D29" s="5">
        <v>3.02</v>
      </c>
      <c r="E29" s="5">
        <v>3.25</v>
      </c>
      <c r="F29" s="5">
        <v>2.0299999999999998</v>
      </c>
    </row>
    <row r="30" spans="1:6" ht="15.5" x14ac:dyDescent="0.35">
      <c r="A30" s="4" t="s">
        <v>33</v>
      </c>
      <c r="B30" s="5">
        <v>2.93</v>
      </c>
      <c r="C30" s="5">
        <v>3.66</v>
      </c>
      <c r="D30" s="5">
        <v>2.88</v>
      </c>
      <c r="E30" s="5">
        <v>2.84</v>
      </c>
      <c r="F30" s="5">
        <v>2.86</v>
      </c>
    </row>
    <row r="31" spans="1:6" ht="15.5" x14ac:dyDescent="0.35">
      <c r="A31" s="4" t="s">
        <v>34</v>
      </c>
      <c r="B31" s="5">
        <v>1.89</v>
      </c>
      <c r="C31" s="5">
        <v>1.9</v>
      </c>
      <c r="D31" s="5">
        <v>2.0499999999999998</v>
      </c>
      <c r="E31" s="5">
        <v>1.48</v>
      </c>
      <c r="F31" s="5">
        <v>1.05</v>
      </c>
    </row>
    <row r="32" spans="1:6" ht="15.5" x14ac:dyDescent="0.35">
      <c r="A32" s="4" t="s">
        <v>35</v>
      </c>
      <c r="B32" s="5">
        <v>4.33</v>
      </c>
      <c r="C32" s="5">
        <v>4.7300000000000004</v>
      </c>
      <c r="D32" s="5">
        <v>3.72</v>
      </c>
      <c r="E32" s="5">
        <v>4.5</v>
      </c>
      <c r="F32" s="5">
        <v>4.1900000000000004</v>
      </c>
    </row>
    <row r="33" spans="1:6" ht="15.5" x14ac:dyDescent="0.35">
      <c r="A33" s="4" t="s">
        <v>36</v>
      </c>
      <c r="B33" s="5">
        <v>0.96</v>
      </c>
      <c r="C33" s="5">
        <v>1.03</v>
      </c>
      <c r="D33" s="5">
        <v>1.42</v>
      </c>
      <c r="E33" s="5">
        <v>1.08</v>
      </c>
      <c r="F33" s="5">
        <v>1.02</v>
      </c>
    </row>
    <row r="34" spans="1:6" ht="15.5" x14ac:dyDescent="0.35">
      <c r="A34" s="4" t="s">
        <v>37</v>
      </c>
      <c r="B34" s="5">
        <v>0.98</v>
      </c>
      <c r="C34" s="5">
        <v>1.06</v>
      </c>
      <c r="D34" s="5">
        <v>0.9</v>
      </c>
      <c r="E34" s="5">
        <v>0.81</v>
      </c>
      <c r="F34" s="5">
        <v>1.06</v>
      </c>
    </row>
    <row r="35" spans="1:6" ht="15.5" x14ac:dyDescent="0.35">
      <c r="A35" s="4" t="s">
        <v>38</v>
      </c>
      <c r="B35" s="5">
        <v>0.66</v>
      </c>
      <c r="C35" s="5">
        <v>0.87</v>
      </c>
      <c r="D35" s="5">
        <v>1</v>
      </c>
      <c r="E35" s="5">
        <v>0.76</v>
      </c>
      <c r="F35" s="5">
        <v>0.42</v>
      </c>
    </row>
    <row r="36" spans="1:6" ht="15.5" x14ac:dyDescent="0.35">
      <c r="A36" s="4" t="s">
        <v>39</v>
      </c>
      <c r="B36" s="5">
        <v>1.19</v>
      </c>
      <c r="C36" s="5">
        <v>0.9</v>
      </c>
      <c r="D36" s="5">
        <v>1.04</v>
      </c>
      <c r="E36" s="5">
        <v>1.1299999999999999</v>
      </c>
      <c r="F36" s="5">
        <v>0.98</v>
      </c>
    </row>
    <row r="37" spans="1:6" ht="15.5" x14ac:dyDescent="0.35">
      <c r="A37" s="4" t="s">
        <v>40</v>
      </c>
      <c r="B37" s="5">
        <v>0.78</v>
      </c>
      <c r="C37" s="5">
        <v>1.1499999999999999</v>
      </c>
      <c r="D37" s="5">
        <v>0.93</v>
      </c>
      <c r="E37" s="5">
        <v>1.26</v>
      </c>
      <c r="F37" s="5">
        <v>0.7</v>
      </c>
    </row>
    <row r="38" spans="1:6" ht="15.5" x14ac:dyDescent="0.35">
      <c r="A38" s="4" t="s">
        <v>41</v>
      </c>
      <c r="B38" s="5">
        <v>0.64</v>
      </c>
      <c r="C38" s="5">
        <v>0.84</v>
      </c>
      <c r="D38" s="5">
        <v>0.87</v>
      </c>
      <c r="E38" s="5">
        <v>0.78</v>
      </c>
      <c r="F38" s="5">
        <v>0.74</v>
      </c>
    </row>
    <row r="39" spans="1:6" ht="15.5" x14ac:dyDescent="0.35">
      <c r="A39" s="4" t="s">
        <v>42</v>
      </c>
      <c r="B39" s="5">
        <v>0.77</v>
      </c>
      <c r="C39" s="5">
        <v>0.67</v>
      </c>
      <c r="D39" s="5">
        <v>0.4</v>
      </c>
      <c r="E39" s="5">
        <v>0.65</v>
      </c>
      <c r="F39" s="5">
        <v>0.56000000000000005</v>
      </c>
    </row>
    <row r="40" spans="1:6" ht="15.5" x14ac:dyDescent="0.35">
      <c r="A40" s="4" t="s">
        <v>43</v>
      </c>
      <c r="B40" s="5">
        <v>0.87</v>
      </c>
      <c r="C40" s="5">
        <v>0.75</v>
      </c>
      <c r="D40" s="5">
        <v>0.69</v>
      </c>
      <c r="E40" s="5">
        <v>0.71</v>
      </c>
      <c r="F40" s="5">
        <v>0.65</v>
      </c>
    </row>
    <row r="41" spans="1:6" ht="15.5" x14ac:dyDescent="0.35">
      <c r="A41" s="4" t="s">
        <v>44</v>
      </c>
      <c r="B41" s="5">
        <v>0.59</v>
      </c>
      <c r="C41" s="5">
        <v>0.39</v>
      </c>
      <c r="D41" s="5">
        <v>0.64</v>
      </c>
      <c r="E41" s="5">
        <v>0.35</v>
      </c>
      <c r="F41" s="5">
        <v>0.46</v>
      </c>
    </row>
    <row r="42" spans="1:6" ht="15.5" hidden="1" x14ac:dyDescent="0.35">
      <c r="A42" s="4" t="s">
        <v>45</v>
      </c>
      <c r="B42" s="5">
        <v>1.82</v>
      </c>
      <c r="C42" s="5">
        <v>1.84</v>
      </c>
      <c r="D42" s="5">
        <v>1.62</v>
      </c>
      <c r="E42" s="5">
        <v>1.63</v>
      </c>
      <c r="F42" s="5">
        <v>1.48</v>
      </c>
    </row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topLeftCell="C1" workbookViewId="0">
      <selection activeCell="F7" sqref="F7"/>
    </sheetView>
  </sheetViews>
  <sheetFormatPr defaultColWidth="11.25" defaultRowHeight="15" customHeight="1" x14ac:dyDescent="0.35"/>
  <cols>
    <col min="1" max="1" width="26.58203125" customWidth="1"/>
    <col min="2" max="6" width="10.08203125" customWidth="1"/>
    <col min="7" max="26" width="8.5" customWidth="1"/>
  </cols>
  <sheetData>
    <row r="1" spans="1:6" ht="15" customHeight="1" x14ac:dyDescent="0.35">
      <c r="A1" s="38" t="s">
        <v>49</v>
      </c>
      <c r="B1" s="39"/>
      <c r="C1" s="39"/>
      <c r="D1" s="39"/>
      <c r="E1" s="39"/>
      <c r="F1" s="40"/>
    </row>
    <row r="2" spans="1:6" ht="15.5" x14ac:dyDescent="0.35">
      <c r="A2" s="1"/>
      <c r="B2" s="1"/>
      <c r="C2" s="1"/>
      <c r="D2" s="1"/>
      <c r="E2" s="1"/>
      <c r="F2" s="1"/>
    </row>
    <row r="3" spans="1:6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5.5" x14ac:dyDescent="0.35">
      <c r="A4" s="4" t="s">
        <v>7</v>
      </c>
      <c r="B4" s="5">
        <v>0.71</v>
      </c>
      <c r="C4" s="5">
        <v>0.28000000000000003</v>
      </c>
      <c r="D4" s="5">
        <v>0.23</v>
      </c>
      <c r="E4" s="5">
        <v>0.32</v>
      </c>
      <c r="F4" s="5">
        <v>0.25</v>
      </c>
    </row>
    <row r="5" spans="1:6" ht="15.5" x14ac:dyDescent="0.35">
      <c r="A5" s="4" t="s">
        <v>8</v>
      </c>
      <c r="B5" s="5">
        <v>0.31</v>
      </c>
      <c r="C5" s="5">
        <v>0.18</v>
      </c>
      <c r="D5" s="5">
        <v>0.16</v>
      </c>
      <c r="E5" s="5">
        <v>0.2</v>
      </c>
      <c r="F5" s="5">
        <v>0.17</v>
      </c>
    </row>
    <row r="6" spans="1:6" ht="15.5" x14ac:dyDescent="0.35">
      <c r="A6" s="4" t="s">
        <v>9</v>
      </c>
      <c r="B6" s="5">
        <v>0.31</v>
      </c>
      <c r="C6" s="5">
        <v>0.25</v>
      </c>
      <c r="D6" s="5">
        <v>0.28000000000000003</v>
      </c>
      <c r="E6" s="5">
        <v>0.21</v>
      </c>
      <c r="F6" s="5">
        <v>0.28000000000000003</v>
      </c>
    </row>
    <row r="7" spans="1:6" ht="15.5" x14ac:dyDescent="0.35">
      <c r="A7" s="4" t="s">
        <v>10</v>
      </c>
      <c r="B7" s="5">
        <v>0.11</v>
      </c>
      <c r="C7" s="5">
        <v>0.18</v>
      </c>
      <c r="D7" s="5">
        <v>0.09</v>
      </c>
      <c r="E7" s="5">
        <v>0.17</v>
      </c>
      <c r="F7" s="5">
        <v>0.1</v>
      </c>
    </row>
    <row r="8" spans="1:6" ht="15.5" x14ac:dyDescent="0.35">
      <c r="A8" s="4" t="s">
        <v>11</v>
      </c>
      <c r="B8" s="5">
        <v>0.3</v>
      </c>
      <c r="C8" s="5">
        <v>0.14000000000000001</v>
      </c>
      <c r="D8" s="5">
        <v>0.3</v>
      </c>
      <c r="E8" s="5">
        <v>0.23</v>
      </c>
      <c r="F8" s="5">
        <v>0.12</v>
      </c>
    </row>
    <row r="9" spans="1:6" ht="15.5" x14ac:dyDescent="0.35">
      <c r="A9" s="4" t="s">
        <v>12</v>
      </c>
      <c r="B9" s="5">
        <v>0.33</v>
      </c>
      <c r="C9" s="5">
        <v>0.25</v>
      </c>
      <c r="D9" s="5">
        <v>0.41</v>
      </c>
      <c r="E9" s="5">
        <v>0.34</v>
      </c>
      <c r="F9" s="5">
        <v>0.24</v>
      </c>
    </row>
    <row r="10" spans="1:6" ht="15.5" x14ac:dyDescent="0.35">
      <c r="A10" s="4" t="s">
        <v>13</v>
      </c>
      <c r="B10" s="5">
        <v>0.3</v>
      </c>
      <c r="C10" s="5">
        <v>0.3</v>
      </c>
      <c r="D10" s="5">
        <v>0.18</v>
      </c>
      <c r="E10" s="5">
        <v>0.17</v>
      </c>
      <c r="F10" s="5">
        <v>0.16</v>
      </c>
    </row>
    <row r="11" spans="1:6" ht="15.5" x14ac:dyDescent="0.35">
      <c r="A11" s="4" t="s">
        <v>14</v>
      </c>
      <c r="B11" s="5">
        <v>0.21</v>
      </c>
      <c r="C11" s="5">
        <v>0.34</v>
      </c>
      <c r="D11" s="5">
        <v>0.31</v>
      </c>
      <c r="E11" s="5">
        <v>0.3</v>
      </c>
      <c r="F11" s="5">
        <v>0.26</v>
      </c>
    </row>
    <row r="12" spans="1:6" ht="15.5" x14ac:dyDescent="0.35">
      <c r="A12" s="4" t="s">
        <v>15</v>
      </c>
      <c r="B12" s="5">
        <v>0.31</v>
      </c>
      <c r="C12" s="5">
        <v>0.4</v>
      </c>
      <c r="D12" s="5">
        <v>0.22</v>
      </c>
      <c r="E12" s="5">
        <v>0.22</v>
      </c>
      <c r="F12" s="5">
        <v>0.18</v>
      </c>
    </row>
    <row r="13" spans="1:6" ht="15.5" x14ac:dyDescent="0.35">
      <c r="A13" s="4" t="s">
        <v>16</v>
      </c>
      <c r="B13" s="5">
        <v>0.3</v>
      </c>
      <c r="C13" s="5">
        <v>0.28000000000000003</v>
      </c>
      <c r="D13" s="5">
        <v>0.25</v>
      </c>
      <c r="E13" s="5">
        <v>0.17</v>
      </c>
      <c r="F13" s="5">
        <v>0.06</v>
      </c>
    </row>
    <row r="14" spans="1:6" ht="15.5" x14ac:dyDescent="0.35">
      <c r="A14" s="4" t="s">
        <v>17</v>
      </c>
      <c r="B14" s="5">
        <v>0.5</v>
      </c>
      <c r="C14" s="5">
        <v>0.49</v>
      </c>
      <c r="D14" s="5">
        <v>0.33</v>
      </c>
      <c r="E14" s="5">
        <v>0.51</v>
      </c>
      <c r="F14" s="5">
        <v>0.28000000000000003</v>
      </c>
    </row>
    <row r="15" spans="1:6" ht="15.5" x14ac:dyDescent="0.35">
      <c r="A15" s="4" t="s">
        <v>18</v>
      </c>
      <c r="B15" s="5">
        <v>0.47</v>
      </c>
      <c r="C15" s="5">
        <v>0.49</v>
      </c>
      <c r="D15" s="5">
        <v>0.27</v>
      </c>
      <c r="E15" s="5">
        <v>0.3</v>
      </c>
      <c r="F15" s="5">
        <v>0.18</v>
      </c>
    </row>
    <row r="16" spans="1:6" ht="15.5" x14ac:dyDescent="0.35">
      <c r="A16" s="4" t="s">
        <v>19</v>
      </c>
      <c r="B16" s="5">
        <v>0.78</v>
      </c>
      <c r="C16" s="5">
        <v>0.81</v>
      </c>
      <c r="D16" s="5">
        <v>0.59</v>
      </c>
      <c r="E16" s="5">
        <v>0.7</v>
      </c>
      <c r="F16" s="5">
        <v>0.6</v>
      </c>
    </row>
    <row r="17" spans="1:6" ht="15.5" x14ac:dyDescent="0.35">
      <c r="A17" s="4" t="s">
        <v>20</v>
      </c>
      <c r="B17" s="5">
        <v>0.23</v>
      </c>
      <c r="C17" s="5">
        <v>0.24</v>
      </c>
      <c r="D17" s="5">
        <v>0.28999999999999998</v>
      </c>
      <c r="E17" s="5">
        <v>0.26</v>
      </c>
      <c r="F17" s="5">
        <v>0.21</v>
      </c>
    </row>
    <row r="18" spans="1:6" ht="15.5" x14ac:dyDescent="0.35">
      <c r="A18" s="4" t="s">
        <v>21</v>
      </c>
      <c r="B18" s="5">
        <v>0.26</v>
      </c>
      <c r="C18" s="5">
        <v>0.25</v>
      </c>
      <c r="D18" s="5">
        <v>0.18</v>
      </c>
      <c r="E18" s="5">
        <v>0.16</v>
      </c>
      <c r="F18" s="5">
        <v>0.18</v>
      </c>
    </row>
    <row r="19" spans="1:6" ht="15.5" x14ac:dyDescent="0.35">
      <c r="A19" s="4" t="s">
        <v>22</v>
      </c>
      <c r="B19" s="5">
        <v>0.51</v>
      </c>
      <c r="C19" s="5">
        <v>0.37</v>
      </c>
      <c r="D19" s="5">
        <v>0.28999999999999998</v>
      </c>
      <c r="E19" s="5">
        <v>0.4</v>
      </c>
      <c r="F19" s="5">
        <v>0.19</v>
      </c>
    </row>
    <row r="20" spans="1:6" ht="15.5" x14ac:dyDescent="0.35">
      <c r="A20" s="4" t="s">
        <v>23</v>
      </c>
      <c r="B20" s="5">
        <v>0.4</v>
      </c>
      <c r="C20" s="5">
        <v>0.36</v>
      </c>
      <c r="D20" s="5">
        <v>0.23</v>
      </c>
      <c r="E20" s="5">
        <v>0.24</v>
      </c>
      <c r="F20" s="5">
        <v>0.17</v>
      </c>
    </row>
    <row r="21" spans="1:6" ht="15.5" x14ac:dyDescent="0.35">
      <c r="A21" s="4" t="s">
        <v>24</v>
      </c>
      <c r="B21" s="5">
        <v>0.35</v>
      </c>
      <c r="C21" s="5">
        <v>0.31</v>
      </c>
      <c r="D21" s="5">
        <v>0.31</v>
      </c>
      <c r="E21" s="5">
        <v>0.31</v>
      </c>
      <c r="F21" s="5">
        <v>0.18</v>
      </c>
    </row>
    <row r="22" spans="1:6" ht="15.5" x14ac:dyDescent="0.35">
      <c r="A22" s="4" t="s">
        <v>25</v>
      </c>
      <c r="B22" s="5">
        <v>0.35</v>
      </c>
      <c r="C22" s="5">
        <v>0.38</v>
      </c>
      <c r="D22" s="5">
        <v>0.37</v>
      </c>
      <c r="E22" s="5">
        <v>0.31</v>
      </c>
      <c r="F22" s="5">
        <v>0.25</v>
      </c>
    </row>
    <row r="23" spans="1:6" ht="15.5" x14ac:dyDescent="0.35">
      <c r="A23" s="4" t="s">
        <v>26</v>
      </c>
      <c r="B23" s="5">
        <v>0.21</v>
      </c>
      <c r="C23" s="5">
        <v>0.37</v>
      </c>
      <c r="D23" s="5">
        <v>0.34</v>
      </c>
      <c r="E23" s="5">
        <v>0.19</v>
      </c>
      <c r="F23" s="5">
        <v>0.2</v>
      </c>
    </row>
    <row r="24" spans="1:6" ht="15.5" x14ac:dyDescent="0.35">
      <c r="A24" s="4" t="s">
        <v>27</v>
      </c>
      <c r="B24" s="5">
        <v>0.55000000000000004</v>
      </c>
      <c r="C24" s="5">
        <v>0.47</v>
      </c>
      <c r="D24" s="5">
        <v>0.31</v>
      </c>
      <c r="E24" s="5">
        <v>0.56000000000000005</v>
      </c>
      <c r="F24" s="5">
        <v>0.61</v>
      </c>
    </row>
    <row r="25" spans="1:6" ht="15.5" x14ac:dyDescent="0.35">
      <c r="A25" s="4" t="s">
        <v>28</v>
      </c>
      <c r="B25" s="5">
        <v>0.35</v>
      </c>
      <c r="C25" s="5">
        <v>0.45</v>
      </c>
      <c r="D25" s="5">
        <v>0.4</v>
      </c>
      <c r="E25" s="5">
        <v>0.49</v>
      </c>
      <c r="F25" s="5">
        <v>0.48</v>
      </c>
    </row>
    <row r="26" spans="1:6" ht="15.5" x14ac:dyDescent="0.35">
      <c r="A26" s="4" t="s">
        <v>29</v>
      </c>
      <c r="B26" s="5">
        <v>0.48</v>
      </c>
      <c r="C26" s="5">
        <v>0.86</v>
      </c>
      <c r="D26" s="5">
        <v>0.81</v>
      </c>
      <c r="E26" s="5">
        <v>0.42</v>
      </c>
      <c r="F26" s="5">
        <v>0.39</v>
      </c>
    </row>
    <row r="27" spans="1:6" ht="15.5" x14ac:dyDescent="0.35">
      <c r="A27" s="4" t="s">
        <v>30</v>
      </c>
      <c r="B27" s="5">
        <v>0.78</v>
      </c>
      <c r="C27" s="5">
        <v>0.73</v>
      </c>
      <c r="D27" s="5">
        <v>0.53</v>
      </c>
      <c r="E27" s="5">
        <v>0.38</v>
      </c>
      <c r="F27" s="5">
        <v>0.44</v>
      </c>
    </row>
    <row r="28" spans="1:6" ht="15.5" x14ac:dyDescent="0.35">
      <c r="A28" s="4" t="s">
        <v>31</v>
      </c>
      <c r="B28" s="5">
        <v>0.8</v>
      </c>
      <c r="C28" s="5">
        <v>0.61</v>
      </c>
      <c r="D28" s="5">
        <v>0.89</v>
      </c>
      <c r="E28" s="5">
        <v>0.38</v>
      </c>
      <c r="F28" s="5">
        <v>0.33</v>
      </c>
    </row>
    <row r="29" spans="1:6" ht="15.5" x14ac:dyDescent="0.35">
      <c r="A29" s="4" t="s">
        <v>32</v>
      </c>
      <c r="B29" s="5">
        <v>1.29</v>
      </c>
      <c r="C29" s="5">
        <v>0.86</v>
      </c>
      <c r="D29" s="5">
        <v>0.73</v>
      </c>
      <c r="E29" s="5">
        <v>0.82</v>
      </c>
      <c r="F29" s="5">
        <v>0.39</v>
      </c>
    </row>
    <row r="30" spans="1:6" ht="15.5" x14ac:dyDescent="0.35">
      <c r="A30" s="4" t="s">
        <v>33</v>
      </c>
      <c r="B30" s="5">
        <v>0.53</v>
      </c>
      <c r="C30" s="5">
        <v>0.8</v>
      </c>
      <c r="D30" s="5">
        <v>0.53</v>
      </c>
      <c r="E30" s="5">
        <v>0.56999999999999995</v>
      </c>
      <c r="F30" s="5">
        <v>0.56999999999999995</v>
      </c>
    </row>
    <row r="31" spans="1:6" ht="15.5" x14ac:dyDescent="0.35">
      <c r="A31" s="4" t="s">
        <v>34</v>
      </c>
      <c r="B31" s="5">
        <v>0.37</v>
      </c>
      <c r="C31" s="5">
        <v>0.4</v>
      </c>
      <c r="D31" s="5">
        <v>0.41</v>
      </c>
      <c r="E31" s="5">
        <v>0.24</v>
      </c>
      <c r="F31" s="5">
        <v>0.14000000000000001</v>
      </c>
    </row>
    <row r="32" spans="1:6" ht="15.5" x14ac:dyDescent="0.35">
      <c r="A32" s="4" t="s">
        <v>35</v>
      </c>
      <c r="B32" s="5">
        <v>1.3</v>
      </c>
      <c r="C32" s="5">
        <v>1.56</v>
      </c>
      <c r="D32" s="5">
        <v>1.1599999999999999</v>
      </c>
      <c r="E32" s="5">
        <v>1.42</v>
      </c>
      <c r="F32" s="5">
        <v>1.53</v>
      </c>
    </row>
    <row r="33" spans="1:6" ht="15.5" x14ac:dyDescent="0.35">
      <c r="A33" s="4" t="s">
        <v>36</v>
      </c>
      <c r="B33" s="5">
        <v>0.17</v>
      </c>
      <c r="C33" s="5">
        <v>0.21</v>
      </c>
      <c r="D33" s="5">
        <v>0.41</v>
      </c>
      <c r="E33" s="5">
        <v>0.23</v>
      </c>
      <c r="F33" s="5">
        <v>0.25</v>
      </c>
    </row>
    <row r="34" spans="1:6" ht="15.5" x14ac:dyDescent="0.35">
      <c r="A34" s="4" t="s">
        <v>37</v>
      </c>
      <c r="B34" s="5">
        <v>0.22</v>
      </c>
      <c r="C34" s="5">
        <v>0.28000000000000003</v>
      </c>
      <c r="D34" s="5">
        <v>0.19</v>
      </c>
      <c r="E34" s="5">
        <v>0.12</v>
      </c>
      <c r="F34" s="5">
        <v>0.24</v>
      </c>
    </row>
    <row r="35" spans="1:6" ht="15.5" x14ac:dyDescent="0.35">
      <c r="A35" s="4" t="s">
        <v>38</v>
      </c>
      <c r="B35" s="5">
        <v>0.15</v>
      </c>
      <c r="C35" s="5">
        <v>0.22</v>
      </c>
      <c r="D35" s="5">
        <v>0.34</v>
      </c>
      <c r="E35" s="5">
        <v>0.18</v>
      </c>
      <c r="F35" s="5">
        <v>0.08</v>
      </c>
    </row>
    <row r="36" spans="1:6" ht="15.5" x14ac:dyDescent="0.35">
      <c r="A36" s="4" t="s">
        <v>39</v>
      </c>
      <c r="B36" s="5">
        <v>0.28000000000000003</v>
      </c>
      <c r="C36" s="5">
        <v>0.17</v>
      </c>
      <c r="D36" s="5">
        <v>0.23</v>
      </c>
      <c r="E36" s="5">
        <v>0.24</v>
      </c>
      <c r="F36" s="5">
        <v>0.21</v>
      </c>
    </row>
    <row r="37" spans="1:6" ht="15.5" x14ac:dyDescent="0.35">
      <c r="A37" s="4" t="s">
        <v>40</v>
      </c>
      <c r="B37" s="5">
        <v>0.14000000000000001</v>
      </c>
      <c r="C37" s="5">
        <v>0.27</v>
      </c>
      <c r="D37" s="5">
        <v>0.22</v>
      </c>
      <c r="E37" s="5">
        <v>0.33</v>
      </c>
      <c r="F37" s="5">
        <v>0.12</v>
      </c>
    </row>
    <row r="38" spans="1:6" ht="15.5" x14ac:dyDescent="0.35">
      <c r="A38" s="4" t="s">
        <v>41</v>
      </c>
      <c r="B38" s="5">
        <v>0.1</v>
      </c>
      <c r="C38" s="5">
        <v>0.17</v>
      </c>
      <c r="D38" s="5">
        <v>0.18</v>
      </c>
      <c r="E38" s="5">
        <v>0.16</v>
      </c>
      <c r="F38" s="5">
        <v>0.13</v>
      </c>
    </row>
    <row r="39" spans="1:6" ht="15.5" x14ac:dyDescent="0.35">
      <c r="A39" s="4" t="s">
        <v>42</v>
      </c>
      <c r="B39" s="5">
        <v>0.18</v>
      </c>
      <c r="C39" s="5">
        <v>0.15</v>
      </c>
      <c r="D39" s="5">
        <v>0.06</v>
      </c>
      <c r="E39" s="5">
        <v>0.16</v>
      </c>
      <c r="F39" s="5">
        <v>0.09</v>
      </c>
    </row>
    <row r="40" spans="1:6" ht="15.5" x14ac:dyDescent="0.35">
      <c r="A40" s="4" t="s">
        <v>43</v>
      </c>
      <c r="B40" s="5">
        <v>0.24</v>
      </c>
      <c r="C40" s="5">
        <v>0.17</v>
      </c>
      <c r="D40" s="5">
        <v>0.18</v>
      </c>
      <c r="E40" s="5">
        <v>0.16</v>
      </c>
      <c r="F40" s="5">
        <v>0.16</v>
      </c>
    </row>
    <row r="41" spans="1:6" ht="15.5" x14ac:dyDescent="0.35">
      <c r="A41" s="4" t="s">
        <v>44</v>
      </c>
      <c r="B41" s="5">
        <v>0.14000000000000001</v>
      </c>
      <c r="C41" s="5">
        <v>0.06</v>
      </c>
      <c r="D41" s="5">
        <v>0.16</v>
      </c>
      <c r="E41" s="5">
        <v>0.06</v>
      </c>
      <c r="F41" s="5">
        <v>0.09</v>
      </c>
    </row>
    <row r="42" spans="1:6" ht="15.5" hidden="1" x14ac:dyDescent="0.35">
      <c r="A42" s="4" t="s">
        <v>45</v>
      </c>
      <c r="B42" s="5">
        <v>0.43</v>
      </c>
      <c r="C42" s="5">
        <v>0.43</v>
      </c>
      <c r="D42" s="5">
        <v>0.38</v>
      </c>
      <c r="E42" s="5">
        <v>0.37</v>
      </c>
      <c r="F42" s="5">
        <v>0.31</v>
      </c>
    </row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zoomScale="56" zoomScaleNormal="145" workbookViewId="0">
      <selection activeCell="B7" sqref="B7:F7"/>
    </sheetView>
  </sheetViews>
  <sheetFormatPr defaultColWidth="11.25" defaultRowHeight="15" customHeight="1" x14ac:dyDescent="0.35"/>
  <cols>
    <col min="1" max="1" width="26.58203125" customWidth="1"/>
    <col min="2" max="6" width="10.08203125" customWidth="1"/>
    <col min="7" max="26" width="8.5" customWidth="1"/>
  </cols>
  <sheetData>
    <row r="1" spans="1:6" ht="15.5" x14ac:dyDescent="0.35">
      <c r="A1" s="38" t="s">
        <v>50</v>
      </c>
      <c r="B1" s="39"/>
      <c r="C1" s="39"/>
      <c r="D1" s="39"/>
      <c r="E1" s="39"/>
      <c r="F1" s="40"/>
    </row>
    <row r="2" spans="1:6" ht="15.5" x14ac:dyDescent="0.35">
      <c r="A2" s="1"/>
      <c r="B2" s="1"/>
      <c r="C2" s="1"/>
      <c r="D2" s="1"/>
      <c r="E2" s="1"/>
      <c r="F2" s="1"/>
    </row>
    <row r="3" spans="1:6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5.5" x14ac:dyDescent="0.35">
      <c r="A4" s="4" t="s">
        <v>7</v>
      </c>
      <c r="B4" s="5">
        <v>0.35099999999999998</v>
      </c>
      <c r="C4" s="5">
        <v>0.33700000000000002</v>
      </c>
      <c r="D4" s="5">
        <v>0.33800000000000002</v>
      </c>
      <c r="E4" s="5">
        <v>0.35199999999999998</v>
      </c>
      <c r="F4" s="5">
        <v>0.32700000000000001</v>
      </c>
    </row>
    <row r="5" spans="1:6" ht="15.5" x14ac:dyDescent="0.35">
      <c r="A5" s="4" t="s">
        <v>8</v>
      </c>
      <c r="B5" s="5">
        <v>0.38</v>
      </c>
      <c r="C5" s="5">
        <v>0.36899999999999999</v>
      </c>
      <c r="D5" s="5">
        <v>0.33600000000000002</v>
      </c>
      <c r="E5" s="5">
        <v>0.34100000000000003</v>
      </c>
      <c r="F5" s="5">
        <v>0.32600000000000001</v>
      </c>
    </row>
    <row r="6" spans="1:6" ht="15.5" x14ac:dyDescent="0.35">
      <c r="A6" s="4" t="s">
        <v>9</v>
      </c>
      <c r="B6" s="5">
        <v>0.379</v>
      </c>
      <c r="C6" s="5">
        <v>0.33500000000000002</v>
      </c>
      <c r="D6" s="5">
        <v>0.33100000000000002</v>
      </c>
      <c r="E6" s="5">
        <v>0.33600000000000002</v>
      </c>
      <c r="F6" s="5">
        <v>0.35</v>
      </c>
    </row>
    <row r="7" spans="1:6" ht="15.5" x14ac:dyDescent="0.35">
      <c r="A7" s="4" t="s">
        <v>10</v>
      </c>
      <c r="B7" s="5">
        <v>0.33600000000000002</v>
      </c>
      <c r="C7" s="5">
        <v>0.32700000000000001</v>
      </c>
      <c r="D7" s="5">
        <v>0.34200000000000003</v>
      </c>
      <c r="E7" s="5">
        <v>0.32800000000000001</v>
      </c>
      <c r="F7" s="5">
        <v>0.32100000000000001</v>
      </c>
    </row>
    <row r="8" spans="1:6" ht="15.5" x14ac:dyDescent="0.35">
      <c r="A8" s="4" t="s">
        <v>11</v>
      </c>
      <c r="B8" s="5">
        <v>0.34799999999999998</v>
      </c>
      <c r="C8" s="5">
        <v>0.35299999999999998</v>
      </c>
      <c r="D8" s="5">
        <v>0.33500000000000002</v>
      </c>
      <c r="E8" s="5">
        <v>0.36</v>
      </c>
      <c r="F8" s="5">
        <v>0.35299999999999998</v>
      </c>
    </row>
    <row r="9" spans="1:6" ht="15.5" x14ac:dyDescent="0.35">
      <c r="A9" s="4" t="s">
        <v>12</v>
      </c>
      <c r="B9" s="5">
        <v>0.32500000000000001</v>
      </c>
      <c r="C9" s="5">
        <v>0.33</v>
      </c>
      <c r="D9" s="5">
        <v>0.32900000000000001</v>
      </c>
      <c r="E9" s="5">
        <v>0.30599999999999999</v>
      </c>
      <c r="F9" s="5">
        <v>0.3</v>
      </c>
    </row>
    <row r="10" spans="1:6" ht="15.5" x14ac:dyDescent="0.35">
      <c r="A10" s="4" t="s">
        <v>13</v>
      </c>
      <c r="B10" s="5">
        <v>0.371</v>
      </c>
      <c r="C10" s="5">
        <v>0.36699999999999999</v>
      </c>
      <c r="D10" s="5">
        <v>0.36799999999999999</v>
      </c>
      <c r="E10" s="5">
        <v>0.378</v>
      </c>
      <c r="F10" s="5">
        <v>0.34300000000000003</v>
      </c>
    </row>
    <row r="11" spans="1:6" ht="15.5" x14ac:dyDescent="0.35">
      <c r="A11" s="4" t="s">
        <v>14</v>
      </c>
      <c r="B11" s="5">
        <v>0.29699999999999999</v>
      </c>
      <c r="C11" s="5">
        <v>0.309</v>
      </c>
      <c r="D11" s="5">
        <v>0.34899999999999998</v>
      </c>
      <c r="E11" s="5">
        <v>0.39100000000000001</v>
      </c>
      <c r="F11" s="5">
        <v>0.36299999999999999</v>
      </c>
    </row>
    <row r="12" spans="1:6" ht="15.5" x14ac:dyDescent="0.35">
      <c r="A12" s="4" t="s">
        <v>15</v>
      </c>
      <c r="B12" s="5">
        <v>0.318</v>
      </c>
      <c r="C12" s="5">
        <v>0.33600000000000002</v>
      </c>
      <c r="D12" s="5">
        <v>0.30099999999999999</v>
      </c>
      <c r="E12" s="5">
        <v>0.34399999999999997</v>
      </c>
      <c r="F12" s="5">
        <v>0.32100000000000001</v>
      </c>
    </row>
    <row r="13" spans="1:6" ht="15.5" x14ac:dyDescent="0.35">
      <c r="A13" s="4" t="s">
        <v>16</v>
      </c>
      <c r="B13" s="5">
        <v>0.316</v>
      </c>
      <c r="C13" s="5">
        <v>0.373</v>
      </c>
      <c r="D13" s="5">
        <v>0.32900000000000001</v>
      </c>
      <c r="E13" s="5">
        <v>0.35099999999999998</v>
      </c>
      <c r="F13" s="5">
        <v>0.312</v>
      </c>
    </row>
    <row r="14" spans="1:6" ht="15.5" x14ac:dyDescent="0.35">
      <c r="A14" s="4" t="s">
        <v>17</v>
      </c>
      <c r="B14" s="5">
        <v>0.32900000000000001</v>
      </c>
      <c r="C14" s="5">
        <v>0.33400000000000002</v>
      </c>
      <c r="D14" s="5">
        <v>0.36499999999999999</v>
      </c>
      <c r="E14" s="5">
        <v>0.35</v>
      </c>
      <c r="F14" s="5">
        <v>0.33300000000000002</v>
      </c>
    </row>
    <row r="15" spans="1:6" ht="15.5" x14ac:dyDescent="0.35">
      <c r="A15" s="4" t="s">
        <v>18</v>
      </c>
      <c r="B15" s="5">
        <v>0.30499999999999999</v>
      </c>
      <c r="C15" s="5">
        <v>0.32300000000000001</v>
      </c>
      <c r="D15" s="5">
        <v>0.29799999999999999</v>
      </c>
      <c r="E15" s="5">
        <v>0.32600000000000001</v>
      </c>
      <c r="F15" s="5">
        <v>0.38500000000000001</v>
      </c>
    </row>
    <row r="16" spans="1:6" ht="15.5" x14ac:dyDescent="0.35">
      <c r="A16" s="4" t="s">
        <v>19</v>
      </c>
      <c r="B16" s="5">
        <v>0.32600000000000001</v>
      </c>
      <c r="C16" s="5">
        <v>0.32600000000000001</v>
      </c>
      <c r="D16" s="5">
        <v>0.27500000000000002</v>
      </c>
      <c r="E16" s="5">
        <v>0.31900000000000001</v>
      </c>
      <c r="F16" s="5">
        <v>0.33900000000000002</v>
      </c>
    </row>
    <row r="17" spans="1:6" ht="15.5" x14ac:dyDescent="0.35">
      <c r="A17" s="4" t="s">
        <v>20</v>
      </c>
      <c r="B17" s="5">
        <v>0.34599999999999997</v>
      </c>
      <c r="C17" s="5">
        <v>0.34399999999999997</v>
      </c>
      <c r="D17" s="5">
        <v>0.32500000000000001</v>
      </c>
      <c r="E17" s="5">
        <v>0.36699999999999999</v>
      </c>
      <c r="F17" s="5">
        <v>0.33100000000000002</v>
      </c>
    </row>
    <row r="18" spans="1:6" ht="15.5" x14ac:dyDescent="0.35">
      <c r="A18" s="4" t="s">
        <v>21</v>
      </c>
      <c r="B18" s="5">
        <v>0.34</v>
      </c>
      <c r="C18" s="5">
        <v>0.34699999999999998</v>
      </c>
      <c r="D18" s="5">
        <v>0.373</v>
      </c>
      <c r="E18" s="5">
        <v>0.35899999999999999</v>
      </c>
      <c r="F18" s="5">
        <v>0.32700000000000001</v>
      </c>
    </row>
    <row r="19" spans="1:6" ht="15.5" x14ac:dyDescent="0.35">
      <c r="A19" s="4" t="s">
        <v>22</v>
      </c>
      <c r="B19" s="5">
        <v>0.32500000000000001</v>
      </c>
      <c r="C19" s="5">
        <v>0.29399999999999998</v>
      </c>
      <c r="D19" s="5">
        <v>0.32700000000000001</v>
      </c>
      <c r="E19" s="5">
        <v>0.33800000000000002</v>
      </c>
      <c r="F19" s="5">
        <v>0.33700000000000002</v>
      </c>
    </row>
    <row r="20" spans="1:6" ht="15.5" x14ac:dyDescent="0.35">
      <c r="A20" s="4" t="s">
        <v>23</v>
      </c>
      <c r="B20" s="5">
        <v>0.33400000000000002</v>
      </c>
      <c r="C20" s="5">
        <v>0.33200000000000002</v>
      </c>
      <c r="D20" s="5">
        <v>0.31</v>
      </c>
      <c r="E20" s="5">
        <v>0.33900000000000002</v>
      </c>
      <c r="F20" s="5">
        <v>0.30199999999999999</v>
      </c>
    </row>
    <row r="21" spans="1:6" ht="15.5" x14ac:dyDescent="0.35">
      <c r="A21" s="4" t="s">
        <v>24</v>
      </c>
      <c r="B21" s="5">
        <v>0.33500000000000002</v>
      </c>
      <c r="C21" s="5">
        <v>0.308</v>
      </c>
      <c r="D21" s="5">
        <v>0.30099999999999999</v>
      </c>
      <c r="E21" s="5">
        <v>0.32400000000000001</v>
      </c>
      <c r="F21" s="5">
        <v>0.28899999999999998</v>
      </c>
    </row>
    <row r="22" spans="1:6" ht="15.5" x14ac:dyDescent="0.35">
      <c r="A22" s="4" t="s">
        <v>25</v>
      </c>
      <c r="B22" s="5">
        <v>0.35699999999999998</v>
      </c>
      <c r="C22" s="5">
        <v>0.35899999999999999</v>
      </c>
      <c r="D22" s="5">
        <v>0.35399999999999998</v>
      </c>
      <c r="E22" s="5">
        <v>0.34200000000000003</v>
      </c>
      <c r="F22" s="5">
        <v>0.309</v>
      </c>
    </row>
    <row r="23" spans="1:6" ht="15.5" x14ac:dyDescent="0.35">
      <c r="A23" s="4" t="s">
        <v>26</v>
      </c>
      <c r="B23" s="5">
        <v>0.32400000000000001</v>
      </c>
      <c r="C23" s="5">
        <v>0.35699999999999998</v>
      </c>
      <c r="D23" s="5">
        <v>0.35199999999999998</v>
      </c>
      <c r="E23" s="5">
        <v>0.373</v>
      </c>
      <c r="F23" s="5">
        <v>0.371</v>
      </c>
    </row>
    <row r="24" spans="1:6" ht="15.5" x14ac:dyDescent="0.35">
      <c r="A24" s="4" t="s">
        <v>27</v>
      </c>
      <c r="B24" s="5">
        <v>0.33700000000000002</v>
      </c>
      <c r="C24" s="5">
        <v>0.309</v>
      </c>
      <c r="D24" s="5">
        <v>0.3</v>
      </c>
      <c r="E24" s="5">
        <v>0.32800000000000001</v>
      </c>
      <c r="F24" s="5">
        <v>0.28899999999999998</v>
      </c>
    </row>
    <row r="25" spans="1:6" ht="15.5" x14ac:dyDescent="0.35">
      <c r="A25" s="4" t="s">
        <v>28</v>
      </c>
      <c r="B25" s="5">
        <v>0.30299999999999999</v>
      </c>
      <c r="C25" s="5">
        <v>0.34</v>
      </c>
      <c r="D25" s="5">
        <v>0.28000000000000003</v>
      </c>
      <c r="E25" s="5">
        <v>0.28299999999999997</v>
      </c>
      <c r="F25" s="5">
        <v>0.31</v>
      </c>
    </row>
    <row r="26" spans="1:6" ht="15.5" x14ac:dyDescent="0.35">
      <c r="A26" s="4" t="s">
        <v>29</v>
      </c>
      <c r="B26" s="5">
        <v>0.33700000000000002</v>
      </c>
      <c r="C26" s="5">
        <v>0.34499999999999997</v>
      </c>
      <c r="D26" s="5">
        <v>0.34499999999999997</v>
      </c>
      <c r="E26" s="5">
        <v>0.33800000000000002</v>
      </c>
      <c r="F26" s="5">
        <v>0.33500000000000002</v>
      </c>
    </row>
    <row r="27" spans="1:6" ht="15.5" x14ac:dyDescent="0.35">
      <c r="A27" s="4" t="s">
        <v>30</v>
      </c>
      <c r="B27" s="5">
        <v>0.29599999999999999</v>
      </c>
      <c r="C27" s="5">
        <v>0.29199999999999998</v>
      </c>
      <c r="D27" s="5">
        <v>0.27300000000000002</v>
      </c>
      <c r="E27" s="5">
        <v>0.29499999999999998</v>
      </c>
      <c r="F27" s="5">
        <v>0.28100000000000003</v>
      </c>
    </row>
    <row r="28" spans="1:6" ht="15.5" x14ac:dyDescent="0.35">
      <c r="A28" s="4" t="s">
        <v>31</v>
      </c>
      <c r="B28" s="5">
        <v>0.29899999999999999</v>
      </c>
      <c r="C28" s="5">
        <v>0.313</v>
      </c>
      <c r="D28" s="5">
        <v>0.36299999999999999</v>
      </c>
      <c r="E28" s="5">
        <v>0.33</v>
      </c>
      <c r="F28" s="5">
        <v>0.32200000000000001</v>
      </c>
    </row>
    <row r="29" spans="1:6" ht="15.5" x14ac:dyDescent="0.35">
      <c r="A29" s="4" t="s">
        <v>32</v>
      </c>
      <c r="B29" s="5">
        <v>0.32200000000000001</v>
      </c>
      <c r="C29" s="5">
        <v>0.30299999999999999</v>
      </c>
      <c r="D29" s="5">
        <v>0.30599999999999999</v>
      </c>
      <c r="E29" s="5">
        <v>0.29899999999999999</v>
      </c>
      <c r="F29" s="5">
        <v>0.30099999999999999</v>
      </c>
    </row>
    <row r="30" spans="1:6" ht="15.5" x14ac:dyDescent="0.35">
      <c r="A30" s="4" t="s">
        <v>33</v>
      </c>
      <c r="B30" s="5">
        <v>0.26200000000000001</v>
      </c>
      <c r="C30" s="5">
        <v>0.26800000000000002</v>
      </c>
      <c r="D30" s="5">
        <v>0.28000000000000003</v>
      </c>
      <c r="E30" s="5">
        <v>0.254</v>
      </c>
      <c r="F30" s="5">
        <v>0.23300000000000001</v>
      </c>
    </row>
    <row r="31" spans="1:6" ht="15.5" x14ac:dyDescent="0.35">
      <c r="A31" s="4" t="s">
        <v>34</v>
      </c>
      <c r="B31" s="5">
        <v>0.32</v>
      </c>
      <c r="C31" s="5">
        <v>0.32300000000000001</v>
      </c>
      <c r="D31" s="5">
        <v>0.30499999999999999</v>
      </c>
      <c r="E31" s="5">
        <v>0.34799999999999998</v>
      </c>
      <c r="F31" s="5">
        <v>0.30099999999999999</v>
      </c>
    </row>
    <row r="32" spans="1:6" ht="15.5" x14ac:dyDescent="0.35">
      <c r="A32" s="4" t="s">
        <v>35</v>
      </c>
      <c r="B32" s="5">
        <v>0.25600000000000001</v>
      </c>
      <c r="C32" s="5">
        <v>0.29399999999999998</v>
      </c>
      <c r="D32" s="5">
        <v>0.26600000000000001</v>
      </c>
      <c r="E32" s="5">
        <v>0.28699999999999998</v>
      </c>
      <c r="F32" s="5">
        <v>0.308</v>
      </c>
    </row>
    <row r="33" spans="1:6" ht="15.5" x14ac:dyDescent="0.35">
      <c r="A33" s="4" t="s">
        <v>36</v>
      </c>
      <c r="B33" s="5">
        <v>0.34599999999999997</v>
      </c>
      <c r="C33" s="5">
        <v>0.374</v>
      </c>
      <c r="D33" s="5">
        <v>0.371</v>
      </c>
      <c r="E33" s="5">
        <v>0.4</v>
      </c>
      <c r="F33" s="5">
        <v>0.33700000000000002</v>
      </c>
    </row>
    <row r="34" spans="1:6" ht="15.5" x14ac:dyDescent="0.35">
      <c r="A34" s="4" t="s">
        <v>37</v>
      </c>
      <c r="B34" s="5">
        <v>0.34399999999999997</v>
      </c>
      <c r="C34" s="5">
        <v>0.37</v>
      </c>
      <c r="D34" s="5">
        <v>0.38100000000000001</v>
      </c>
      <c r="E34" s="5">
        <v>0.39700000000000002</v>
      </c>
      <c r="F34" s="5">
        <v>0.35299999999999998</v>
      </c>
    </row>
    <row r="35" spans="1:6" ht="15.5" x14ac:dyDescent="0.35">
      <c r="A35" s="4" t="s">
        <v>38</v>
      </c>
      <c r="B35" s="5">
        <v>0.39500000000000002</v>
      </c>
      <c r="C35" s="5">
        <v>0.40699999999999997</v>
      </c>
      <c r="D35" s="5">
        <v>0.42099999999999999</v>
      </c>
      <c r="E35" s="5">
        <v>0.41299999999999998</v>
      </c>
      <c r="F35" s="5">
        <v>0.42199999999999999</v>
      </c>
    </row>
    <row r="36" spans="1:6" ht="15.5" x14ac:dyDescent="0.35">
      <c r="A36" s="4" t="s">
        <v>39</v>
      </c>
      <c r="B36" s="5">
        <v>0.311</v>
      </c>
      <c r="C36" s="5">
        <v>0.29899999999999999</v>
      </c>
      <c r="D36" s="5">
        <v>0.32200000000000001</v>
      </c>
      <c r="E36" s="5">
        <v>0.34699999999999998</v>
      </c>
      <c r="F36" s="5">
        <v>0.34399999999999997</v>
      </c>
    </row>
    <row r="37" spans="1:6" ht="15.5" x14ac:dyDescent="0.35">
      <c r="A37" s="4" t="s">
        <v>40</v>
      </c>
      <c r="B37" s="5">
        <v>0.30099999999999999</v>
      </c>
      <c r="C37" s="5">
        <v>0.35</v>
      </c>
      <c r="D37" s="5">
        <v>0.36</v>
      </c>
      <c r="E37" s="5">
        <v>0.378</v>
      </c>
      <c r="F37" s="5">
        <v>0.33400000000000002</v>
      </c>
    </row>
    <row r="38" spans="1:6" ht="15.5" x14ac:dyDescent="0.35">
      <c r="A38" s="4" t="s">
        <v>41</v>
      </c>
      <c r="B38" s="5">
        <v>0.35499999999999998</v>
      </c>
      <c r="C38" s="5">
        <v>0.33400000000000002</v>
      </c>
      <c r="D38" s="5">
        <v>0.38100000000000001</v>
      </c>
      <c r="E38" s="5">
        <v>0.35299999999999998</v>
      </c>
      <c r="F38" s="5">
        <v>0.35699999999999998</v>
      </c>
    </row>
    <row r="39" spans="1:6" ht="15.5" x14ac:dyDescent="0.35">
      <c r="A39" s="4" t="s">
        <v>42</v>
      </c>
      <c r="B39" s="5">
        <v>0.39200000000000002</v>
      </c>
      <c r="C39" s="5">
        <v>0.34499999999999997</v>
      </c>
      <c r="D39" s="5">
        <v>0.39800000000000002</v>
      </c>
      <c r="E39" s="5">
        <v>0.41599999999999998</v>
      </c>
      <c r="F39" s="5">
        <v>0.435</v>
      </c>
    </row>
    <row r="40" spans="1:6" ht="15.5" x14ac:dyDescent="0.35">
      <c r="A40" s="4" t="s">
        <v>43</v>
      </c>
      <c r="B40" s="5">
        <v>0.34399999999999997</v>
      </c>
      <c r="C40" s="5">
        <v>0.35099999999999998</v>
      </c>
      <c r="D40" s="5">
        <v>0.38800000000000001</v>
      </c>
      <c r="E40" s="5">
        <v>0.42299999999999999</v>
      </c>
      <c r="F40" s="5">
        <v>0.38100000000000001</v>
      </c>
    </row>
    <row r="41" spans="1:6" ht="15.5" x14ac:dyDescent="0.35">
      <c r="A41" s="4" t="s">
        <v>44</v>
      </c>
      <c r="B41" s="5">
        <v>0.33300000000000002</v>
      </c>
      <c r="C41" s="5">
        <v>0.312</v>
      </c>
      <c r="D41" s="5">
        <v>0.308</v>
      </c>
      <c r="E41" s="5">
        <v>0.33</v>
      </c>
      <c r="F41" s="5">
        <v>0.32700000000000001</v>
      </c>
    </row>
    <row r="42" spans="1:6" ht="15.5" hidden="1" x14ac:dyDescent="0.35">
      <c r="A42" s="4" t="s">
        <v>45</v>
      </c>
      <c r="B42" s="5">
        <v>0.36599999999999999</v>
      </c>
      <c r="C42" s="5">
        <v>0.374</v>
      </c>
      <c r="D42" s="5">
        <v>0.371</v>
      </c>
      <c r="E42" s="5">
        <v>0.38700000000000001</v>
      </c>
      <c r="F42" s="5">
        <v>0.372</v>
      </c>
    </row>
  </sheetData>
  <mergeCells count="1">
    <mergeCell ref="A1:F1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0"/>
  <sheetViews>
    <sheetView topLeftCell="I1" zoomScaleNormal="100" workbookViewId="0">
      <selection activeCell="M6" sqref="M6:R7"/>
    </sheetView>
  </sheetViews>
  <sheetFormatPr defaultColWidth="11.25" defaultRowHeight="15" customHeight="1" x14ac:dyDescent="0.35"/>
  <cols>
    <col min="1" max="1" width="26.58203125" customWidth="1"/>
    <col min="2" max="11" width="10.08203125" customWidth="1"/>
    <col min="12" max="26" width="8.5" customWidth="1"/>
  </cols>
  <sheetData>
    <row r="1" spans="1:24" ht="15.5" x14ac:dyDescent="0.35">
      <c r="A1" s="38" t="s">
        <v>51</v>
      </c>
      <c r="B1" s="39"/>
      <c r="C1" s="39"/>
      <c r="D1" s="39"/>
      <c r="E1" s="39"/>
      <c r="F1" s="39"/>
      <c r="G1" s="39"/>
      <c r="H1" s="39"/>
      <c r="I1" s="39"/>
      <c r="J1" s="39"/>
      <c r="K1" s="41"/>
    </row>
    <row r="2" spans="1:24" ht="15.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24" ht="15.5" x14ac:dyDescent="0.35">
      <c r="A3" s="2" t="s">
        <v>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spans="1:24" ht="15.5" x14ac:dyDescent="0.35">
      <c r="A4" s="4" t="s">
        <v>7</v>
      </c>
      <c r="B4" s="8">
        <v>100</v>
      </c>
      <c r="C4" s="5">
        <v>98.05</v>
      </c>
      <c r="D4" s="8">
        <v>100</v>
      </c>
      <c r="E4" s="8">
        <v>98.56</v>
      </c>
      <c r="F4" s="8">
        <v>100</v>
      </c>
      <c r="G4" s="8">
        <v>98.15</v>
      </c>
      <c r="H4" s="5">
        <v>100</v>
      </c>
      <c r="I4" s="5">
        <v>97.9</v>
      </c>
      <c r="J4" s="8">
        <v>96.42</v>
      </c>
      <c r="K4" s="5">
        <v>97.86</v>
      </c>
    </row>
    <row r="5" spans="1:24" ht="15.5" x14ac:dyDescent="0.35">
      <c r="A5" s="4" t="s">
        <v>8</v>
      </c>
      <c r="B5" s="8">
        <v>100</v>
      </c>
      <c r="C5" s="5">
        <v>97.93</v>
      </c>
      <c r="D5" s="8">
        <v>100</v>
      </c>
      <c r="E5" s="8">
        <v>91.79</v>
      </c>
      <c r="F5" s="8">
        <v>100</v>
      </c>
      <c r="G5" s="8">
        <v>96.05</v>
      </c>
      <c r="H5" s="5">
        <v>100</v>
      </c>
      <c r="I5" s="5">
        <v>97.72</v>
      </c>
      <c r="J5" s="8">
        <v>100</v>
      </c>
      <c r="K5" s="5">
        <v>96.18</v>
      </c>
      <c r="N5">
        <v>2020</v>
      </c>
      <c r="O5">
        <v>2021</v>
      </c>
      <c r="P5">
        <v>2022</v>
      </c>
      <c r="Q5">
        <v>2023</v>
      </c>
      <c r="R5">
        <v>2024</v>
      </c>
    </row>
    <row r="6" spans="1:24" ht="15.5" x14ac:dyDescent="0.35">
      <c r="A6" s="4" t="s">
        <v>9</v>
      </c>
      <c r="B6" s="8">
        <v>100</v>
      </c>
      <c r="C6" s="5">
        <v>98.82</v>
      </c>
      <c r="D6" s="8">
        <v>100</v>
      </c>
      <c r="E6" s="8">
        <v>99.37</v>
      </c>
      <c r="F6" s="8">
        <v>100</v>
      </c>
      <c r="G6" s="8">
        <v>97.23</v>
      </c>
      <c r="H6" s="5">
        <v>95.17</v>
      </c>
      <c r="I6" s="5">
        <v>97.24</v>
      </c>
      <c r="J6" s="8">
        <v>100</v>
      </c>
      <c r="K6" s="5">
        <v>99.61</v>
      </c>
      <c r="M6" t="s">
        <v>180</v>
      </c>
      <c r="N6" s="25">
        <v>100</v>
      </c>
      <c r="O6" s="25">
        <v>100</v>
      </c>
      <c r="P6" s="25">
        <v>100</v>
      </c>
      <c r="Q6" s="27">
        <v>100</v>
      </c>
      <c r="R6" s="25">
        <v>100</v>
      </c>
    </row>
    <row r="7" spans="1:24" ht="15.5" x14ac:dyDescent="0.35">
      <c r="A7" s="4" t="s">
        <v>10</v>
      </c>
      <c r="B7" s="8">
        <v>100</v>
      </c>
      <c r="C7" s="5">
        <v>100</v>
      </c>
      <c r="D7" s="8">
        <v>100</v>
      </c>
      <c r="E7" s="8">
        <v>99.37</v>
      </c>
      <c r="F7" s="8">
        <v>100</v>
      </c>
      <c r="G7" s="8">
        <v>100</v>
      </c>
      <c r="H7" s="5">
        <v>100</v>
      </c>
      <c r="I7" s="5">
        <v>100</v>
      </c>
      <c r="J7" s="8">
        <v>100</v>
      </c>
      <c r="K7" s="5">
        <v>100</v>
      </c>
      <c r="M7" t="s">
        <v>181</v>
      </c>
      <c r="N7" s="27">
        <v>100</v>
      </c>
      <c r="O7" s="25">
        <v>99.37</v>
      </c>
      <c r="P7" s="25">
        <v>100</v>
      </c>
      <c r="Q7" s="27">
        <v>100</v>
      </c>
      <c r="R7" s="27">
        <v>100</v>
      </c>
    </row>
    <row r="8" spans="1:24" ht="15.5" x14ac:dyDescent="0.35">
      <c r="A8" s="4" t="s">
        <v>11</v>
      </c>
      <c r="B8" s="8">
        <v>100</v>
      </c>
      <c r="C8" s="5">
        <v>95.03</v>
      </c>
      <c r="D8" s="8">
        <v>100</v>
      </c>
      <c r="E8" s="8">
        <v>96.63</v>
      </c>
      <c r="F8" s="8">
        <v>100</v>
      </c>
      <c r="G8" s="8">
        <v>99.93</v>
      </c>
      <c r="H8" s="5">
        <v>100</v>
      </c>
      <c r="I8" s="5">
        <v>98.52</v>
      </c>
      <c r="J8" s="8">
        <v>100</v>
      </c>
      <c r="K8" s="5">
        <v>97.64</v>
      </c>
      <c r="M8" t="s">
        <v>182</v>
      </c>
      <c r="N8" s="37">
        <f>AVERAGE(N6:N7)</f>
        <v>100</v>
      </c>
      <c r="O8" s="37">
        <f t="shared" ref="O8:R8" si="0">AVERAGE(O6:O7)</f>
        <v>99.685000000000002</v>
      </c>
      <c r="P8" s="37">
        <f t="shared" si="0"/>
        <v>100</v>
      </c>
      <c r="Q8" s="37">
        <f t="shared" si="0"/>
        <v>100</v>
      </c>
      <c r="R8" s="37">
        <f t="shared" si="0"/>
        <v>100</v>
      </c>
      <c r="T8">
        <v>100</v>
      </c>
      <c r="U8">
        <v>99.69</v>
      </c>
      <c r="V8">
        <v>100</v>
      </c>
      <c r="W8">
        <v>100</v>
      </c>
      <c r="X8">
        <v>100</v>
      </c>
    </row>
    <row r="9" spans="1:24" ht="15.5" x14ac:dyDescent="0.35">
      <c r="A9" s="4" t="s">
        <v>12</v>
      </c>
      <c r="B9" s="8">
        <v>100</v>
      </c>
      <c r="C9" s="5">
        <v>99.03</v>
      </c>
      <c r="D9" s="8">
        <v>100</v>
      </c>
      <c r="E9" s="8">
        <v>97.65</v>
      </c>
      <c r="F9" s="8">
        <v>100</v>
      </c>
      <c r="G9" s="8">
        <v>98.11</v>
      </c>
      <c r="H9" s="5">
        <v>100</v>
      </c>
      <c r="I9" s="5">
        <v>99.49</v>
      </c>
      <c r="J9" s="8">
        <v>100</v>
      </c>
      <c r="K9" s="5">
        <v>100</v>
      </c>
    </row>
    <row r="10" spans="1:24" ht="15.5" x14ac:dyDescent="0.35">
      <c r="A10" s="4" t="s">
        <v>13</v>
      </c>
      <c r="B10" s="8">
        <v>100</v>
      </c>
      <c r="C10" s="5">
        <v>98.33</v>
      </c>
      <c r="D10" s="8">
        <v>100</v>
      </c>
      <c r="E10" s="8">
        <v>98.65</v>
      </c>
      <c r="F10" s="8">
        <v>100</v>
      </c>
      <c r="G10" s="8">
        <v>98.69</v>
      </c>
      <c r="H10" s="5">
        <v>100</v>
      </c>
      <c r="I10" s="5">
        <v>99.18</v>
      </c>
      <c r="J10" s="8">
        <v>100</v>
      </c>
      <c r="K10" s="5">
        <v>100</v>
      </c>
    </row>
    <row r="11" spans="1:24" ht="15.5" x14ac:dyDescent="0.35">
      <c r="A11" s="4" t="s">
        <v>14</v>
      </c>
      <c r="B11" s="8">
        <v>100</v>
      </c>
      <c r="C11" s="5">
        <v>93.54</v>
      </c>
      <c r="D11" s="8">
        <v>100</v>
      </c>
      <c r="E11" s="8">
        <v>95.02</v>
      </c>
      <c r="F11" s="8">
        <v>100</v>
      </c>
      <c r="G11" s="8">
        <v>98.18</v>
      </c>
      <c r="H11" s="5">
        <v>100</v>
      </c>
      <c r="I11" s="5">
        <v>99.27</v>
      </c>
      <c r="J11" s="8">
        <v>100</v>
      </c>
      <c r="K11" s="5">
        <v>99.57</v>
      </c>
    </row>
    <row r="12" spans="1:24" ht="15.5" x14ac:dyDescent="0.35">
      <c r="A12" s="4" t="s">
        <v>15</v>
      </c>
      <c r="B12" s="8">
        <v>100</v>
      </c>
      <c r="C12" s="5">
        <v>95.67</v>
      </c>
      <c r="D12" s="8">
        <v>100</v>
      </c>
      <c r="E12" s="8">
        <v>91.93</v>
      </c>
      <c r="F12" s="8">
        <v>98.12</v>
      </c>
      <c r="G12" s="8">
        <v>92.78</v>
      </c>
      <c r="H12" s="5">
        <v>100</v>
      </c>
      <c r="I12" s="5">
        <v>95.62</v>
      </c>
      <c r="J12" s="8">
        <v>100</v>
      </c>
      <c r="K12" s="5">
        <v>94.65</v>
      </c>
    </row>
    <row r="13" spans="1:24" ht="15.5" x14ac:dyDescent="0.35">
      <c r="A13" s="4" t="s">
        <v>16</v>
      </c>
      <c r="B13" s="8">
        <v>100</v>
      </c>
      <c r="C13" s="5">
        <v>96.03</v>
      </c>
      <c r="D13" s="8">
        <v>100</v>
      </c>
      <c r="E13" s="8">
        <v>95.89</v>
      </c>
      <c r="F13" s="8">
        <v>100</v>
      </c>
      <c r="G13" s="8">
        <v>92.28</v>
      </c>
      <c r="H13" s="5">
        <v>100</v>
      </c>
      <c r="I13" s="5">
        <v>98.43</v>
      </c>
      <c r="J13" s="8">
        <v>100</v>
      </c>
      <c r="K13" s="5">
        <v>99.42</v>
      </c>
    </row>
    <row r="14" spans="1:24" ht="15.5" x14ac:dyDescent="0.35">
      <c r="A14" s="4" t="s">
        <v>17</v>
      </c>
      <c r="B14" s="8">
        <v>100</v>
      </c>
      <c r="C14" s="5">
        <v>86.93</v>
      </c>
      <c r="D14" s="8">
        <v>100</v>
      </c>
      <c r="E14" s="8">
        <v>89.98</v>
      </c>
      <c r="F14" s="8">
        <v>100</v>
      </c>
      <c r="G14" s="8">
        <v>92.59</v>
      </c>
      <c r="H14" s="5">
        <v>100</v>
      </c>
      <c r="I14" s="5">
        <v>95.15</v>
      </c>
      <c r="J14" s="8">
        <v>100</v>
      </c>
      <c r="K14" s="5">
        <v>96.46</v>
      </c>
    </row>
    <row r="15" spans="1:24" ht="15.5" x14ac:dyDescent="0.35">
      <c r="A15" s="4" t="s">
        <v>18</v>
      </c>
      <c r="B15" s="8">
        <v>96.74</v>
      </c>
      <c r="C15" s="5">
        <v>87.38</v>
      </c>
      <c r="D15" s="8">
        <v>100</v>
      </c>
      <c r="E15" s="8">
        <v>85.55</v>
      </c>
      <c r="F15" s="8">
        <v>100</v>
      </c>
      <c r="G15" s="8">
        <v>86.03</v>
      </c>
      <c r="H15" s="5">
        <v>100</v>
      </c>
      <c r="I15" s="5">
        <v>96.94</v>
      </c>
      <c r="J15" s="8">
        <v>100</v>
      </c>
      <c r="K15" s="5">
        <v>93.97</v>
      </c>
    </row>
    <row r="16" spans="1:24" ht="15.5" x14ac:dyDescent="0.35">
      <c r="A16" s="4" t="s">
        <v>19</v>
      </c>
      <c r="B16" s="8">
        <v>100</v>
      </c>
      <c r="C16" s="5">
        <v>91.79</v>
      </c>
      <c r="D16" s="8">
        <v>100</v>
      </c>
      <c r="E16" s="8">
        <v>92</v>
      </c>
      <c r="F16" s="8">
        <v>100</v>
      </c>
      <c r="G16" s="8">
        <v>95.26</v>
      </c>
      <c r="H16" s="5">
        <v>100</v>
      </c>
      <c r="I16" s="5">
        <v>91.11</v>
      </c>
      <c r="J16" s="8">
        <v>100</v>
      </c>
      <c r="K16" s="5">
        <v>94.87</v>
      </c>
    </row>
    <row r="17" spans="1:11" ht="15.5" x14ac:dyDescent="0.35">
      <c r="A17" s="4" t="s">
        <v>20</v>
      </c>
      <c r="B17" s="8">
        <v>100</v>
      </c>
      <c r="C17" s="5">
        <v>95.12</v>
      </c>
      <c r="D17" s="8">
        <v>100</v>
      </c>
      <c r="E17" s="8">
        <v>97.76</v>
      </c>
      <c r="F17" s="8">
        <v>100</v>
      </c>
      <c r="G17" s="8">
        <v>95.25</v>
      </c>
      <c r="H17" s="5">
        <v>100</v>
      </c>
      <c r="I17" s="5">
        <v>98.64</v>
      </c>
      <c r="J17" s="8">
        <v>100</v>
      </c>
      <c r="K17" s="5">
        <v>99.5</v>
      </c>
    </row>
    <row r="18" spans="1:11" ht="15.5" x14ac:dyDescent="0.35">
      <c r="A18" s="4" t="s">
        <v>21</v>
      </c>
      <c r="B18" s="8">
        <v>100</v>
      </c>
      <c r="C18" s="5">
        <v>98.03</v>
      </c>
      <c r="D18" s="8">
        <v>100</v>
      </c>
      <c r="E18" s="8">
        <v>100</v>
      </c>
      <c r="F18" s="8">
        <v>100</v>
      </c>
      <c r="G18" s="8">
        <v>98.36</v>
      </c>
      <c r="H18" s="5">
        <v>100</v>
      </c>
      <c r="I18" s="5">
        <v>100</v>
      </c>
      <c r="J18" s="8">
        <v>100</v>
      </c>
      <c r="K18" s="5">
        <v>100</v>
      </c>
    </row>
    <row r="19" spans="1:11" ht="15.5" x14ac:dyDescent="0.35">
      <c r="A19" s="4" t="s">
        <v>22</v>
      </c>
      <c r="B19" s="8">
        <v>100</v>
      </c>
      <c r="C19" s="5">
        <v>99.33</v>
      </c>
      <c r="D19" s="8">
        <v>100</v>
      </c>
      <c r="E19" s="8">
        <v>97.86</v>
      </c>
      <c r="F19" s="8">
        <v>98.15</v>
      </c>
      <c r="G19" s="8">
        <v>98.65</v>
      </c>
      <c r="H19" s="5">
        <v>100</v>
      </c>
      <c r="I19" s="5">
        <v>99.51</v>
      </c>
      <c r="J19" s="8">
        <v>100</v>
      </c>
      <c r="K19" s="5">
        <v>98.82</v>
      </c>
    </row>
    <row r="20" spans="1:11" ht="15.5" x14ac:dyDescent="0.35">
      <c r="A20" s="4" t="s">
        <v>23</v>
      </c>
      <c r="B20" s="8">
        <v>100</v>
      </c>
      <c r="C20" s="5">
        <v>97.87</v>
      </c>
      <c r="D20" s="8">
        <v>100</v>
      </c>
      <c r="E20" s="8">
        <v>97.99</v>
      </c>
      <c r="F20" s="8">
        <v>100</v>
      </c>
      <c r="G20" s="8">
        <v>98.09</v>
      </c>
      <c r="H20" s="5">
        <v>100</v>
      </c>
      <c r="I20" s="5">
        <v>99.43</v>
      </c>
      <c r="J20" s="8">
        <v>100</v>
      </c>
      <c r="K20" s="5">
        <v>100</v>
      </c>
    </row>
    <row r="21" spans="1:11" ht="15.5" x14ac:dyDescent="0.35">
      <c r="A21" s="4" t="s">
        <v>24</v>
      </c>
      <c r="B21" s="8">
        <v>100</v>
      </c>
      <c r="C21" s="5">
        <v>99.04</v>
      </c>
      <c r="D21" s="8">
        <v>100</v>
      </c>
      <c r="E21" s="8">
        <v>95.67</v>
      </c>
      <c r="F21" s="8">
        <v>100</v>
      </c>
      <c r="G21" s="8">
        <v>98.56</v>
      </c>
      <c r="H21" s="5">
        <v>100</v>
      </c>
      <c r="I21" s="5">
        <v>99.28</v>
      </c>
      <c r="J21" s="8">
        <v>100</v>
      </c>
      <c r="K21" s="5">
        <v>99.37</v>
      </c>
    </row>
    <row r="22" spans="1:11" ht="15.5" x14ac:dyDescent="0.35">
      <c r="A22" s="4" t="s">
        <v>25</v>
      </c>
      <c r="B22" s="8">
        <v>100</v>
      </c>
      <c r="C22" s="5">
        <v>96.24</v>
      </c>
      <c r="D22" s="8">
        <v>100</v>
      </c>
      <c r="E22" s="8">
        <v>96.63</v>
      </c>
      <c r="F22" s="8">
        <v>100</v>
      </c>
      <c r="G22" s="8">
        <v>96.15</v>
      </c>
      <c r="H22" s="5">
        <v>89.56</v>
      </c>
      <c r="I22" s="5">
        <v>94.93</v>
      </c>
      <c r="J22" s="8">
        <v>100</v>
      </c>
      <c r="K22" s="5">
        <v>97.77</v>
      </c>
    </row>
    <row r="23" spans="1:11" ht="15.5" x14ac:dyDescent="0.35">
      <c r="A23" s="4" t="s">
        <v>26</v>
      </c>
      <c r="B23" s="8">
        <v>100</v>
      </c>
      <c r="C23" s="5">
        <v>96.44</v>
      </c>
      <c r="D23" s="8">
        <v>97.03</v>
      </c>
      <c r="E23" s="8">
        <v>97.15</v>
      </c>
      <c r="F23" s="8">
        <v>100</v>
      </c>
      <c r="G23" s="8">
        <v>98.8</v>
      </c>
      <c r="H23" s="5">
        <v>100</v>
      </c>
      <c r="I23" s="5">
        <v>98.98</v>
      </c>
      <c r="J23" s="8">
        <v>100</v>
      </c>
      <c r="K23" s="5">
        <v>100</v>
      </c>
    </row>
    <row r="24" spans="1:11" ht="15.5" x14ac:dyDescent="0.35">
      <c r="A24" s="4" t="s">
        <v>27</v>
      </c>
      <c r="B24" s="8">
        <v>100</v>
      </c>
      <c r="C24" s="5">
        <v>93.12</v>
      </c>
      <c r="D24" s="8">
        <v>100</v>
      </c>
      <c r="E24" s="8">
        <v>96.31</v>
      </c>
      <c r="F24" s="8">
        <v>100</v>
      </c>
      <c r="G24" s="8">
        <v>97.55</v>
      </c>
      <c r="H24" s="5">
        <v>100</v>
      </c>
      <c r="I24" s="5">
        <v>99.91</v>
      </c>
      <c r="J24" s="8">
        <v>100</v>
      </c>
      <c r="K24" s="5">
        <v>98.45</v>
      </c>
    </row>
    <row r="25" spans="1:11" ht="15.5" x14ac:dyDescent="0.35">
      <c r="A25" s="4" t="s">
        <v>28</v>
      </c>
      <c r="B25" s="8">
        <v>100</v>
      </c>
      <c r="C25" s="5">
        <v>95.97</v>
      </c>
      <c r="D25" s="8">
        <v>100</v>
      </c>
      <c r="E25" s="8">
        <v>97.45</v>
      </c>
      <c r="F25" s="8">
        <v>100</v>
      </c>
      <c r="G25" s="8">
        <v>98.32</v>
      </c>
      <c r="H25" s="5">
        <v>100</v>
      </c>
      <c r="I25" s="5">
        <v>99.18</v>
      </c>
      <c r="J25" s="8">
        <v>100</v>
      </c>
      <c r="K25" s="5">
        <v>98.59</v>
      </c>
    </row>
    <row r="26" spans="1:11" ht="15.5" x14ac:dyDescent="0.35">
      <c r="A26" s="4" t="s">
        <v>29</v>
      </c>
      <c r="B26" s="8">
        <v>100</v>
      </c>
      <c r="C26" s="5">
        <v>95.09</v>
      </c>
      <c r="D26" s="8">
        <v>100</v>
      </c>
      <c r="E26" s="8">
        <v>96.27</v>
      </c>
      <c r="F26" s="8">
        <v>100</v>
      </c>
      <c r="G26" s="8">
        <v>95.52</v>
      </c>
      <c r="H26" s="5">
        <v>100</v>
      </c>
      <c r="I26" s="5">
        <v>96.37</v>
      </c>
      <c r="J26" s="8">
        <v>100</v>
      </c>
      <c r="K26" s="5">
        <v>99.08</v>
      </c>
    </row>
    <row r="27" spans="1:11" ht="15.5" x14ac:dyDescent="0.35">
      <c r="A27" s="4" t="s">
        <v>30</v>
      </c>
      <c r="B27" s="8">
        <v>100</v>
      </c>
      <c r="C27" s="5">
        <v>97.76</v>
      </c>
      <c r="D27" s="8">
        <v>97.2</v>
      </c>
      <c r="E27" s="8">
        <v>98.53</v>
      </c>
      <c r="F27" s="8">
        <v>100</v>
      </c>
      <c r="G27" s="8">
        <v>97.35</v>
      </c>
      <c r="H27" s="5">
        <v>100</v>
      </c>
      <c r="I27" s="5">
        <v>99.44</v>
      </c>
      <c r="J27" s="8">
        <v>100</v>
      </c>
      <c r="K27" s="5">
        <v>98.68</v>
      </c>
    </row>
    <row r="28" spans="1:11" ht="15.5" x14ac:dyDescent="0.35">
      <c r="A28" s="4" t="s">
        <v>31</v>
      </c>
      <c r="B28" s="8">
        <v>100</v>
      </c>
      <c r="C28" s="5">
        <v>98.91</v>
      </c>
      <c r="D28" s="8">
        <v>100</v>
      </c>
      <c r="E28" s="8">
        <v>99</v>
      </c>
      <c r="F28" s="8">
        <v>100</v>
      </c>
      <c r="G28" s="8">
        <v>100</v>
      </c>
      <c r="H28" s="5">
        <v>100</v>
      </c>
      <c r="I28" s="5">
        <v>99.6</v>
      </c>
      <c r="J28" s="8">
        <v>100</v>
      </c>
      <c r="K28" s="5">
        <v>100</v>
      </c>
    </row>
    <row r="29" spans="1:11" ht="15.5" x14ac:dyDescent="0.35">
      <c r="A29" s="4" t="s">
        <v>32</v>
      </c>
      <c r="B29" s="8">
        <v>99.34</v>
      </c>
      <c r="C29" s="5">
        <v>96.67</v>
      </c>
      <c r="D29" s="8">
        <v>100</v>
      </c>
      <c r="E29" s="8">
        <v>93.74</v>
      </c>
      <c r="F29" s="8">
        <v>100</v>
      </c>
      <c r="G29" s="8">
        <v>95.83</v>
      </c>
      <c r="H29" s="5">
        <v>100</v>
      </c>
      <c r="I29" s="5">
        <v>98.68</v>
      </c>
      <c r="J29" s="8">
        <v>100</v>
      </c>
      <c r="K29" s="5">
        <v>98.13</v>
      </c>
    </row>
    <row r="30" spans="1:11" ht="15.5" x14ac:dyDescent="0.35">
      <c r="A30" s="4" t="s">
        <v>33</v>
      </c>
      <c r="B30" s="8">
        <v>99.33</v>
      </c>
      <c r="C30" s="5">
        <v>86.56</v>
      </c>
      <c r="D30" s="8">
        <v>100</v>
      </c>
      <c r="E30" s="8">
        <v>88.58</v>
      </c>
      <c r="F30" s="8">
        <v>99.72</v>
      </c>
      <c r="G30" s="8">
        <v>88.01</v>
      </c>
      <c r="H30" s="5">
        <v>99.51</v>
      </c>
      <c r="I30" s="5">
        <v>91.3</v>
      </c>
      <c r="J30" s="8">
        <v>100</v>
      </c>
      <c r="K30" s="5">
        <v>90.26</v>
      </c>
    </row>
    <row r="31" spans="1:11" ht="15.5" x14ac:dyDescent="0.35">
      <c r="A31" s="4" t="s">
        <v>34</v>
      </c>
      <c r="B31" s="8">
        <v>100</v>
      </c>
      <c r="C31" s="5">
        <v>92.36</v>
      </c>
      <c r="D31" s="8">
        <v>100</v>
      </c>
      <c r="E31" s="8">
        <v>96.75</v>
      </c>
      <c r="F31" s="8">
        <v>100</v>
      </c>
      <c r="G31" s="8">
        <v>93.31</v>
      </c>
      <c r="H31" s="5">
        <v>100</v>
      </c>
      <c r="I31" s="5">
        <v>98.62</v>
      </c>
      <c r="J31" s="8">
        <v>100</v>
      </c>
      <c r="K31" s="5">
        <v>96.96</v>
      </c>
    </row>
    <row r="32" spans="1:11" ht="15.5" x14ac:dyDescent="0.35">
      <c r="A32" s="4" t="s">
        <v>35</v>
      </c>
      <c r="B32" s="8">
        <v>98.97</v>
      </c>
      <c r="C32" s="5">
        <v>92.45</v>
      </c>
      <c r="D32" s="8">
        <v>100</v>
      </c>
      <c r="E32" s="8">
        <v>95.07</v>
      </c>
      <c r="F32" s="8">
        <v>100</v>
      </c>
      <c r="G32" s="8">
        <v>95.4</v>
      </c>
      <c r="H32" s="5">
        <v>100</v>
      </c>
      <c r="I32" s="5">
        <v>97.62</v>
      </c>
      <c r="J32" s="8">
        <v>100</v>
      </c>
      <c r="K32" s="5">
        <v>98.38</v>
      </c>
    </row>
    <row r="33" spans="1:11" ht="15.5" x14ac:dyDescent="0.35">
      <c r="A33" s="4" t="s">
        <v>36</v>
      </c>
      <c r="B33" s="8">
        <v>100</v>
      </c>
      <c r="C33" s="5">
        <v>100</v>
      </c>
      <c r="D33" s="8">
        <v>100</v>
      </c>
      <c r="E33" s="8">
        <v>100</v>
      </c>
      <c r="F33" s="8">
        <v>100</v>
      </c>
      <c r="G33" s="8">
        <v>97.66</v>
      </c>
      <c r="H33" s="5">
        <v>100</v>
      </c>
      <c r="I33" s="5">
        <v>100</v>
      </c>
      <c r="J33" s="8">
        <v>100</v>
      </c>
      <c r="K33" s="5">
        <v>98.48</v>
      </c>
    </row>
    <row r="34" spans="1:11" ht="15.5" x14ac:dyDescent="0.35">
      <c r="A34" s="4" t="s">
        <v>37</v>
      </c>
      <c r="B34" s="8">
        <v>100</v>
      </c>
      <c r="C34" s="5">
        <v>99.5</v>
      </c>
      <c r="D34" s="8">
        <v>100</v>
      </c>
      <c r="E34" s="8">
        <v>100</v>
      </c>
      <c r="F34" s="8">
        <v>100</v>
      </c>
      <c r="G34" s="8">
        <v>100</v>
      </c>
      <c r="H34" s="5">
        <v>95.86</v>
      </c>
      <c r="I34" s="5">
        <v>98.83</v>
      </c>
      <c r="J34" s="8">
        <v>100</v>
      </c>
      <c r="K34" s="5">
        <v>100</v>
      </c>
    </row>
    <row r="35" spans="1:11" ht="15.5" x14ac:dyDescent="0.35">
      <c r="A35" s="4" t="s">
        <v>38</v>
      </c>
      <c r="B35" s="8">
        <v>100</v>
      </c>
      <c r="C35" s="5">
        <v>95.18</v>
      </c>
      <c r="D35" s="8">
        <v>100</v>
      </c>
      <c r="E35" s="8">
        <v>100</v>
      </c>
      <c r="F35" s="8">
        <v>100</v>
      </c>
      <c r="G35" s="8">
        <v>100</v>
      </c>
      <c r="H35" s="5">
        <v>100</v>
      </c>
      <c r="I35" s="5">
        <v>100</v>
      </c>
      <c r="J35" s="8">
        <v>100</v>
      </c>
      <c r="K35" s="5">
        <v>100</v>
      </c>
    </row>
    <row r="36" spans="1:11" ht="15.5" x14ac:dyDescent="0.35">
      <c r="A36" s="4" t="s">
        <v>39</v>
      </c>
      <c r="B36" s="8">
        <v>100</v>
      </c>
      <c r="C36" s="5">
        <v>97.65</v>
      </c>
      <c r="D36" s="8">
        <v>100</v>
      </c>
      <c r="E36" s="8">
        <v>100</v>
      </c>
      <c r="F36" s="8">
        <v>100</v>
      </c>
      <c r="G36" s="8">
        <v>98.73</v>
      </c>
      <c r="H36" s="5">
        <v>100</v>
      </c>
      <c r="I36" s="5">
        <v>100</v>
      </c>
      <c r="J36" s="8">
        <v>100</v>
      </c>
      <c r="K36" s="5">
        <v>100</v>
      </c>
    </row>
    <row r="37" spans="1:11" ht="15.5" x14ac:dyDescent="0.35">
      <c r="A37" s="4" t="s">
        <v>40</v>
      </c>
      <c r="B37" s="8">
        <v>100</v>
      </c>
      <c r="C37" s="5">
        <v>100</v>
      </c>
      <c r="D37" s="8">
        <v>100</v>
      </c>
      <c r="E37" s="8">
        <v>98.63</v>
      </c>
      <c r="F37" s="8">
        <v>100</v>
      </c>
      <c r="G37" s="8">
        <v>97.42</v>
      </c>
      <c r="H37" s="5">
        <v>100</v>
      </c>
      <c r="I37" s="5">
        <v>100</v>
      </c>
      <c r="J37" s="8">
        <v>100</v>
      </c>
      <c r="K37" s="5">
        <v>100</v>
      </c>
    </row>
    <row r="38" spans="1:11" ht="15.5" x14ac:dyDescent="0.35">
      <c r="A38" s="4" t="s">
        <v>41</v>
      </c>
      <c r="B38" s="8">
        <v>100</v>
      </c>
      <c r="C38" s="5">
        <v>95.67</v>
      </c>
      <c r="D38" s="8">
        <v>100</v>
      </c>
      <c r="E38" s="8">
        <v>100</v>
      </c>
      <c r="F38" s="8">
        <v>100</v>
      </c>
      <c r="G38" s="8">
        <v>100</v>
      </c>
      <c r="H38" s="5">
        <v>100</v>
      </c>
      <c r="I38" s="5">
        <v>100</v>
      </c>
      <c r="J38" s="8">
        <v>79.599999999999994</v>
      </c>
      <c r="K38" s="5">
        <v>96.34</v>
      </c>
    </row>
    <row r="39" spans="1:11" ht="15.5" x14ac:dyDescent="0.35">
      <c r="A39" s="4" t="s">
        <v>42</v>
      </c>
      <c r="B39" s="8">
        <v>100</v>
      </c>
      <c r="C39" s="5">
        <v>97.69</v>
      </c>
      <c r="D39" s="8">
        <v>100</v>
      </c>
      <c r="E39" s="8">
        <v>98.24</v>
      </c>
      <c r="F39" s="8">
        <v>100</v>
      </c>
      <c r="G39" s="8">
        <v>95.72</v>
      </c>
      <c r="H39" s="5">
        <v>100</v>
      </c>
      <c r="I39" s="5">
        <v>100</v>
      </c>
      <c r="J39" s="8">
        <v>100</v>
      </c>
      <c r="K39" s="5">
        <v>100</v>
      </c>
    </row>
    <row r="40" spans="1:11" ht="15.5" x14ac:dyDescent="0.35">
      <c r="A40" s="4" t="s">
        <v>43</v>
      </c>
      <c r="B40" s="8">
        <v>100</v>
      </c>
      <c r="C40" s="5">
        <v>100</v>
      </c>
      <c r="D40" s="8">
        <v>100</v>
      </c>
      <c r="E40" s="8">
        <v>99.51</v>
      </c>
      <c r="F40" s="8">
        <v>100</v>
      </c>
      <c r="G40" s="8">
        <v>97.47</v>
      </c>
      <c r="H40" s="5">
        <v>100</v>
      </c>
      <c r="I40" s="5">
        <v>100</v>
      </c>
      <c r="J40" s="8">
        <v>100</v>
      </c>
      <c r="K40" s="5">
        <v>100</v>
      </c>
    </row>
    <row r="41" spans="1:11" ht="15.5" x14ac:dyDescent="0.35">
      <c r="A41" s="4" t="s">
        <v>44</v>
      </c>
      <c r="B41" s="8">
        <v>100</v>
      </c>
      <c r="C41" s="5">
        <v>97.13</v>
      </c>
      <c r="D41" s="8">
        <v>100</v>
      </c>
      <c r="E41" s="8">
        <v>98.41</v>
      </c>
      <c r="F41" s="8">
        <v>100</v>
      </c>
      <c r="G41" s="8">
        <v>100</v>
      </c>
      <c r="H41" s="5">
        <v>100</v>
      </c>
      <c r="I41" s="5">
        <v>100</v>
      </c>
      <c r="J41" s="8">
        <v>100</v>
      </c>
      <c r="K41" s="5">
        <v>100</v>
      </c>
    </row>
    <row r="42" spans="1:11" ht="15.5" hidden="1" x14ac:dyDescent="0.35">
      <c r="A42" s="4" t="s">
        <v>45</v>
      </c>
      <c r="B42" s="8">
        <v>99.81</v>
      </c>
      <c r="C42" s="5">
        <v>95.51</v>
      </c>
      <c r="D42" s="8">
        <v>99.9</v>
      </c>
      <c r="E42" s="8">
        <v>95.87</v>
      </c>
      <c r="F42" s="8">
        <v>99.85</v>
      </c>
      <c r="G42" s="8">
        <v>96.09</v>
      </c>
      <c r="H42" s="5">
        <v>99.77</v>
      </c>
      <c r="I42" s="5">
        <v>97.78</v>
      </c>
      <c r="J42" s="8">
        <v>99.93</v>
      </c>
      <c r="K42" s="5">
        <v>97.93</v>
      </c>
    </row>
    <row r="46" spans="1:11" ht="15.5" x14ac:dyDescent="0.35">
      <c r="K46" s="9">
        <v>40660604.999998726</v>
      </c>
    </row>
    <row r="47" spans="1:11" ht="15.5" x14ac:dyDescent="0.35">
      <c r="K47" s="9">
        <v>40485309.000001431</v>
      </c>
    </row>
    <row r="48" spans="1:11" ht="15.5" x14ac:dyDescent="0.35">
      <c r="K48" s="9">
        <v>40300474.000001721</v>
      </c>
    </row>
    <row r="49" spans="11:11" ht="15.5" x14ac:dyDescent="0.35">
      <c r="K49" s="9">
        <v>40106454.946722746</v>
      </c>
    </row>
    <row r="50" spans="11:11" ht="15.5" x14ac:dyDescent="0.35">
      <c r="K50" s="9">
        <v>39839393.838448524</v>
      </c>
    </row>
  </sheetData>
  <mergeCells count="1">
    <mergeCell ref="A1:K1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00"/>
  <sheetViews>
    <sheetView zoomScale="81" workbookViewId="0">
      <selection activeCell="Q1" sqref="Q1"/>
    </sheetView>
  </sheetViews>
  <sheetFormatPr defaultColWidth="11.25" defaultRowHeight="15" customHeight="1" x14ac:dyDescent="0.35"/>
  <cols>
    <col min="1" max="1" width="26.58203125" customWidth="1"/>
    <col min="2" max="8" width="10.08203125" customWidth="1"/>
    <col min="9" max="10" width="8.5" customWidth="1"/>
    <col min="11" max="13" width="8.58203125" customWidth="1"/>
    <col min="14" max="26" width="8.5" customWidth="1"/>
  </cols>
  <sheetData>
    <row r="1" spans="1:23" ht="15" customHeight="1" x14ac:dyDescent="0.35">
      <c r="A1" s="42" t="s">
        <v>62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1"/>
    </row>
    <row r="2" spans="1:23" ht="15.5" x14ac:dyDescent="0.35">
      <c r="A2" s="1"/>
      <c r="B2" s="43">
        <v>2020</v>
      </c>
      <c r="C2" s="39"/>
      <c r="D2" s="41"/>
      <c r="E2" s="43">
        <v>2021</v>
      </c>
      <c r="F2" s="39"/>
      <c r="G2" s="41"/>
      <c r="H2" s="43">
        <v>2022</v>
      </c>
      <c r="I2" s="39"/>
      <c r="J2" s="41"/>
      <c r="K2" s="43">
        <v>2023</v>
      </c>
      <c r="L2" s="39"/>
      <c r="M2" s="41"/>
      <c r="N2" s="43">
        <v>2024</v>
      </c>
      <c r="O2" s="39"/>
      <c r="P2" s="41"/>
    </row>
    <row r="3" spans="1:23" ht="15.5" x14ac:dyDescent="0.35">
      <c r="A3" s="2" t="s">
        <v>1</v>
      </c>
      <c r="B3" s="2" t="s">
        <v>63</v>
      </c>
      <c r="C3" s="2" t="s">
        <v>64</v>
      </c>
      <c r="D3" s="3" t="s">
        <v>65</v>
      </c>
      <c r="E3" s="2" t="s">
        <v>66</v>
      </c>
      <c r="F3" s="2" t="s">
        <v>67</v>
      </c>
      <c r="G3" s="3" t="s">
        <v>68</v>
      </c>
      <c r="H3" s="2" t="s">
        <v>69</v>
      </c>
      <c r="I3" s="2" t="s">
        <v>70</v>
      </c>
      <c r="J3" s="3" t="s">
        <v>71</v>
      </c>
      <c r="K3" s="2" t="s">
        <v>72</v>
      </c>
      <c r="L3" s="2" t="s">
        <v>73</v>
      </c>
      <c r="M3" s="3" t="s">
        <v>74</v>
      </c>
      <c r="N3" s="2" t="s">
        <v>75</v>
      </c>
      <c r="O3" s="2" t="s">
        <v>76</v>
      </c>
      <c r="P3" s="3" t="s">
        <v>77</v>
      </c>
    </row>
    <row r="4" spans="1:23" ht="15.5" x14ac:dyDescent="0.35">
      <c r="A4" s="4" t="s">
        <v>7</v>
      </c>
      <c r="B4" s="8">
        <v>23.9</v>
      </c>
      <c r="C4" s="4">
        <v>62.76</v>
      </c>
      <c r="D4" s="5">
        <v>13.34</v>
      </c>
      <c r="E4" s="8">
        <v>24.16</v>
      </c>
      <c r="F4" s="5">
        <v>55.4</v>
      </c>
      <c r="G4" s="5">
        <v>20.440000000000001</v>
      </c>
      <c r="H4" s="8">
        <v>16.14</v>
      </c>
      <c r="I4" s="5">
        <v>64.44</v>
      </c>
      <c r="J4" s="5">
        <v>19.420000000000002</v>
      </c>
      <c r="K4" s="8">
        <v>15.98</v>
      </c>
      <c r="L4" s="8">
        <v>63.39</v>
      </c>
      <c r="M4" s="8">
        <v>20.63</v>
      </c>
      <c r="N4" s="14">
        <v>18.39</v>
      </c>
      <c r="O4" s="14">
        <v>71</v>
      </c>
      <c r="P4" s="14">
        <v>10.6</v>
      </c>
      <c r="S4">
        <v>2020</v>
      </c>
      <c r="T4">
        <v>2021</v>
      </c>
      <c r="U4">
        <v>2022</v>
      </c>
      <c r="V4">
        <v>2023</v>
      </c>
      <c r="W4">
        <v>2024</v>
      </c>
    </row>
    <row r="5" spans="1:23" ht="15.5" x14ac:dyDescent="0.35">
      <c r="A5" s="4" t="s">
        <v>8</v>
      </c>
      <c r="B5" s="4">
        <v>35.85</v>
      </c>
      <c r="C5" s="4">
        <v>48.92</v>
      </c>
      <c r="D5" s="5">
        <v>15.24</v>
      </c>
      <c r="E5" s="8">
        <v>25.23</v>
      </c>
      <c r="F5" s="5">
        <v>58.4</v>
      </c>
      <c r="G5" s="5">
        <v>16.37</v>
      </c>
      <c r="H5" s="8">
        <v>22.38</v>
      </c>
      <c r="I5" s="5">
        <v>61.15</v>
      </c>
      <c r="J5" s="5">
        <v>16.48</v>
      </c>
      <c r="K5" s="8">
        <v>33.85</v>
      </c>
      <c r="L5" s="8">
        <v>51.88</v>
      </c>
      <c r="M5" s="8">
        <v>14.27</v>
      </c>
      <c r="N5" s="14">
        <v>23.69</v>
      </c>
      <c r="O5" s="14">
        <v>58.59</v>
      </c>
      <c r="P5" s="14">
        <v>17.72</v>
      </c>
      <c r="R5" t="s">
        <v>165</v>
      </c>
      <c r="S5" s="25">
        <v>11.63</v>
      </c>
      <c r="T5" s="25">
        <v>22.43</v>
      </c>
      <c r="U5" s="25">
        <v>16.25</v>
      </c>
      <c r="V5" s="25">
        <v>8.82</v>
      </c>
      <c r="W5" s="28">
        <v>14.78</v>
      </c>
    </row>
    <row r="6" spans="1:23" ht="15.5" x14ac:dyDescent="0.35">
      <c r="A6" s="4" t="s">
        <v>9</v>
      </c>
      <c r="B6" s="4">
        <v>22.34</v>
      </c>
      <c r="C6" s="4">
        <v>67.03</v>
      </c>
      <c r="D6" s="5">
        <v>10.63</v>
      </c>
      <c r="E6" s="8">
        <v>23.54</v>
      </c>
      <c r="F6" s="5">
        <v>63.36</v>
      </c>
      <c r="G6" s="5">
        <v>13.1</v>
      </c>
      <c r="H6" s="8">
        <v>23.41</v>
      </c>
      <c r="I6" s="5">
        <v>61.59</v>
      </c>
      <c r="J6" s="5">
        <v>15.01</v>
      </c>
      <c r="K6" s="8">
        <v>19.79</v>
      </c>
      <c r="L6" s="8">
        <v>65.97</v>
      </c>
      <c r="M6" s="8">
        <v>14.24</v>
      </c>
      <c r="N6" s="14">
        <v>22.35</v>
      </c>
      <c r="O6" s="14">
        <v>59.43</v>
      </c>
      <c r="P6" s="14">
        <v>18.22</v>
      </c>
      <c r="R6" t="s">
        <v>166</v>
      </c>
      <c r="S6" s="26">
        <v>62.99</v>
      </c>
      <c r="T6" s="27">
        <v>51.36</v>
      </c>
      <c r="U6" s="27">
        <v>57.69</v>
      </c>
      <c r="V6" s="25">
        <v>71.27</v>
      </c>
      <c r="W6" s="28">
        <v>57.59</v>
      </c>
    </row>
    <row r="7" spans="1:23" ht="15.5" x14ac:dyDescent="0.35">
      <c r="A7" s="4" t="s">
        <v>10</v>
      </c>
      <c r="B7" s="8">
        <v>11.63</v>
      </c>
      <c r="C7" s="4">
        <v>62.99</v>
      </c>
      <c r="D7" s="5">
        <v>25.38</v>
      </c>
      <c r="E7" s="8">
        <v>22.43</v>
      </c>
      <c r="F7" s="5">
        <v>51.36</v>
      </c>
      <c r="G7" s="5">
        <v>26.21</v>
      </c>
      <c r="H7" s="8">
        <v>16.25</v>
      </c>
      <c r="I7" s="5">
        <v>57.69</v>
      </c>
      <c r="J7" s="5">
        <v>26.06</v>
      </c>
      <c r="K7" s="8">
        <v>8.82</v>
      </c>
      <c r="L7" s="8">
        <v>71.27</v>
      </c>
      <c r="M7" s="8">
        <v>19.91</v>
      </c>
      <c r="N7" s="14">
        <v>14.78</v>
      </c>
      <c r="O7" s="14">
        <v>57.59</v>
      </c>
      <c r="P7" s="14">
        <v>27.63</v>
      </c>
      <c r="R7" t="s">
        <v>167</v>
      </c>
      <c r="S7" s="27">
        <v>25.38</v>
      </c>
      <c r="T7" s="27">
        <v>26.21</v>
      </c>
      <c r="U7" s="27">
        <v>26.06</v>
      </c>
      <c r="V7" s="25">
        <v>19.91</v>
      </c>
      <c r="W7" s="28">
        <v>27.63</v>
      </c>
    </row>
    <row r="8" spans="1:23" ht="15.5" x14ac:dyDescent="0.35">
      <c r="A8" s="4" t="s">
        <v>11</v>
      </c>
      <c r="B8" s="8">
        <v>36.42</v>
      </c>
      <c r="C8" s="4">
        <v>48.43</v>
      </c>
      <c r="D8" s="5">
        <v>15.15</v>
      </c>
      <c r="E8" s="8">
        <v>20.420000000000002</v>
      </c>
      <c r="F8" s="5">
        <v>63.96</v>
      </c>
      <c r="G8" s="5">
        <v>15.62</v>
      </c>
      <c r="H8" s="8">
        <v>22.6</v>
      </c>
      <c r="I8" s="5">
        <v>60.13</v>
      </c>
      <c r="J8" s="5">
        <v>17.260000000000002</v>
      </c>
      <c r="K8" s="8">
        <v>32.61</v>
      </c>
      <c r="L8" s="8">
        <v>50.19</v>
      </c>
      <c r="M8" s="8">
        <v>17.2</v>
      </c>
      <c r="N8" s="14">
        <v>30.71</v>
      </c>
      <c r="O8" s="14">
        <v>47.7</v>
      </c>
      <c r="P8" s="14">
        <v>21.6</v>
      </c>
    </row>
    <row r="9" spans="1:23" ht="15.5" x14ac:dyDescent="0.35">
      <c r="A9" s="4" t="s">
        <v>12</v>
      </c>
      <c r="B9" s="8">
        <v>21.24</v>
      </c>
      <c r="C9" s="4">
        <v>59.18</v>
      </c>
      <c r="D9" s="5">
        <v>19.57</v>
      </c>
      <c r="E9" s="8">
        <v>20.77</v>
      </c>
      <c r="F9" s="5">
        <v>56.32</v>
      </c>
      <c r="G9" s="5">
        <v>22.91</v>
      </c>
      <c r="H9" s="8">
        <v>14.09</v>
      </c>
      <c r="I9" s="5">
        <v>56.79</v>
      </c>
      <c r="J9" s="5">
        <v>29.11</v>
      </c>
      <c r="K9" s="8">
        <v>22.82</v>
      </c>
      <c r="L9" s="8">
        <v>49.98</v>
      </c>
      <c r="M9" s="8">
        <v>27.2</v>
      </c>
      <c r="N9" s="15">
        <v>20.91</v>
      </c>
      <c r="O9" s="14">
        <v>48.04</v>
      </c>
      <c r="P9" s="14">
        <v>31.05</v>
      </c>
    </row>
    <row r="10" spans="1:23" ht="15.5" x14ac:dyDescent="0.35">
      <c r="A10" s="4" t="s">
        <v>13</v>
      </c>
      <c r="B10" s="8">
        <v>26.65</v>
      </c>
      <c r="C10" s="4">
        <v>54.43</v>
      </c>
      <c r="D10" s="5">
        <v>18.93</v>
      </c>
      <c r="E10" s="8">
        <v>30.46</v>
      </c>
      <c r="F10" s="5">
        <v>55.07</v>
      </c>
      <c r="G10" s="5">
        <v>14.48</v>
      </c>
      <c r="H10" s="8">
        <v>18.55</v>
      </c>
      <c r="I10" s="5">
        <v>65.239999999999995</v>
      </c>
      <c r="J10" s="5">
        <v>16.21</v>
      </c>
      <c r="K10" s="8">
        <v>20.37</v>
      </c>
      <c r="L10" s="8">
        <v>61.59</v>
      </c>
      <c r="M10" s="8">
        <v>18.04</v>
      </c>
      <c r="N10" s="15">
        <v>22.82</v>
      </c>
      <c r="O10" s="14">
        <v>62.17</v>
      </c>
      <c r="P10" s="14">
        <v>15.01</v>
      </c>
    </row>
    <row r="11" spans="1:23" ht="15.5" x14ac:dyDescent="0.35">
      <c r="A11" s="4" t="s">
        <v>14</v>
      </c>
      <c r="B11" s="8">
        <v>32.479999999999997</v>
      </c>
      <c r="C11" s="4">
        <v>56.22</v>
      </c>
      <c r="D11" s="5">
        <v>11.3</v>
      </c>
      <c r="E11" s="8">
        <v>29.96</v>
      </c>
      <c r="F11" s="5">
        <v>57.94</v>
      </c>
      <c r="G11" s="5">
        <v>12.1</v>
      </c>
      <c r="H11" s="8">
        <v>23.35</v>
      </c>
      <c r="I11" s="5">
        <v>59.24</v>
      </c>
      <c r="J11" s="5">
        <v>17.41</v>
      </c>
      <c r="K11" s="8">
        <v>19.7</v>
      </c>
      <c r="L11" s="8">
        <v>57.26</v>
      </c>
      <c r="M11" s="8">
        <v>23.04</v>
      </c>
      <c r="N11" s="15">
        <v>14.75</v>
      </c>
      <c r="O11" s="14">
        <v>61.74</v>
      </c>
      <c r="P11" s="14">
        <v>23.51</v>
      </c>
    </row>
    <row r="12" spans="1:23" ht="15.5" x14ac:dyDescent="0.35">
      <c r="A12" s="4" t="s">
        <v>15</v>
      </c>
      <c r="B12" s="8">
        <v>35.97</v>
      </c>
      <c r="C12" s="4">
        <v>49.88</v>
      </c>
      <c r="D12" s="5">
        <v>14.14</v>
      </c>
      <c r="E12" s="8">
        <v>41.21</v>
      </c>
      <c r="F12" s="5">
        <v>43.52</v>
      </c>
      <c r="G12" s="5">
        <v>15.27</v>
      </c>
      <c r="H12" s="8">
        <v>43.63</v>
      </c>
      <c r="I12" s="5">
        <v>43.4</v>
      </c>
      <c r="J12" s="5">
        <v>12.97</v>
      </c>
      <c r="K12" s="8">
        <v>33.36</v>
      </c>
      <c r="L12" s="8">
        <v>52.14</v>
      </c>
      <c r="M12" s="8">
        <v>14.5</v>
      </c>
      <c r="N12" s="15">
        <v>30.44</v>
      </c>
      <c r="O12" s="14">
        <v>58.1</v>
      </c>
      <c r="P12" s="14">
        <v>11.45</v>
      </c>
    </row>
    <row r="13" spans="1:23" ht="15.5" x14ac:dyDescent="0.35">
      <c r="A13" s="4" t="s">
        <v>16</v>
      </c>
      <c r="B13" s="8">
        <v>38.99</v>
      </c>
      <c r="C13" s="4">
        <v>41.64</v>
      </c>
      <c r="D13" s="5">
        <v>19.37</v>
      </c>
      <c r="E13" s="8">
        <v>33.799999999999997</v>
      </c>
      <c r="F13" s="5">
        <v>48.99</v>
      </c>
      <c r="G13" s="5">
        <v>17.21</v>
      </c>
      <c r="H13" s="8">
        <v>32.22</v>
      </c>
      <c r="I13" s="5">
        <v>47.37</v>
      </c>
      <c r="J13" s="5">
        <v>20.41</v>
      </c>
      <c r="K13" s="8">
        <v>26.66</v>
      </c>
      <c r="L13" s="8">
        <v>49.52</v>
      </c>
      <c r="M13" s="8">
        <v>23.83</v>
      </c>
      <c r="N13" s="15">
        <v>25.88</v>
      </c>
      <c r="O13" s="14">
        <v>50.3</v>
      </c>
      <c r="P13" s="14">
        <v>23.82</v>
      </c>
    </row>
    <row r="14" spans="1:23" ht="15.5" x14ac:dyDescent="0.35">
      <c r="A14" s="4" t="s">
        <v>17</v>
      </c>
      <c r="B14" s="8">
        <v>53.92</v>
      </c>
      <c r="C14" s="4">
        <v>32.74</v>
      </c>
      <c r="D14" s="5">
        <v>13.34</v>
      </c>
      <c r="E14" s="8">
        <v>49.59</v>
      </c>
      <c r="F14" s="5">
        <v>36.869999999999997</v>
      </c>
      <c r="G14" s="5">
        <v>13.54</v>
      </c>
      <c r="H14" s="8">
        <v>43.58</v>
      </c>
      <c r="I14" s="5">
        <v>42.71</v>
      </c>
      <c r="J14" s="5">
        <v>13.71</v>
      </c>
      <c r="K14" s="8">
        <v>48.8</v>
      </c>
      <c r="L14" s="8">
        <v>38.619999999999997</v>
      </c>
      <c r="M14" s="8">
        <v>12.58</v>
      </c>
      <c r="N14" s="15">
        <v>41.71</v>
      </c>
      <c r="O14" s="14">
        <v>45.02</v>
      </c>
      <c r="P14" s="14">
        <v>13.27</v>
      </c>
    </row>
    <row r="15" spans="1:23" ht="15.5" x14ac:dyDescent="0.35">
      <c r="A15" s="4" t="s">
        <v>18</v>
      </c>
      <c r="B15" s="8">
        <v>49.46</v>
      </c>
      <c r="C15" s="4">
        <v>32.68</v>
      </c>
      <c r="D15" s="5">
        <v>17.86</v>
      </c>
      <c r="E15" s="8">
        <v>41.62</v>
      </c>
      <c r="F15" s="5">
        <v>46.65</v>
      </c>
      <c r="G15" s="5">
        <v>11.73</v>
      </c>
      <c r="H15" s="8">
        <v>36.57</v>
      </c>
      <c r="I15" s="5">
        <v>45.31</v>
      </c>
      <c r="J15" s="5">
        <v>18.12</v>
      </c>
      <c r="K15" s="8">
        <v>39.4</v>
      </c>
      <c r="L15" s="8">
        <v>43.13</v>
      </c>
      <c r="M15" s="8">
        <v>17.46</v>
      </c>
      <c r="N15" s="15">
        <v>50.51</v>
      </c>
      <c r="O15" s="14">
        <v>38.82</v>
      </c>
      <c r="P15" s="14">
        <v>10.67</v>
      </c>
    </row>
    <row r="16" spans="1:23" ht="15.5" x14ac:dyDescent="0.35">
      <c r="A16" s="4" t="s">
        <v>19</v>
      </c>
      <c r="B16" s="8">
        <v>37.33</v>
      </c>
      <c r="C16" s="4">
        <v>43.88</v>
      </c>
      <c r="D16" s="5">
        <v>18.79</v>
      </c>
      <c r="E16" s="8">
        <v>39.130000000000003</v>
      </c>
      <c r="F16" s="5">
        <v>44.34</v>
      </c>
      <c r="G16" s="5">
        <v>16.53</v>
      </c>
      <c r="H16" s="8">
        <v>36.979999999999997</v>
      </c>
      <c r="I16" s="5">
        <v>44.94</v>
      </c>
      <c r="J16" s="5">
        <v>18.079999999999998</v>
      </c>
      <c r="K16" s="8">
        <v>38.57</v>
      </c>
      <c r="L16" s="8">
        <v>49.8</v>
      </c>
      <c r="M16" s="8">
        <v>11.63</v>
      </c>
      <c r="N16" s="15">
        <v>37.18</v>
      </c>
      <c r="O16" s="14">
        <v>43.22</v>
      </c>
      <c r="P16" s="14">
        <v>19.600000000000001</v>
      </c>
      <c r="S16" s="16"/>
    </row>
    <row r="17" spans="1:16" ht="15.5" x14ac:dyDescent="0.35">
      <c r="A17" s="4" t="s">
        <v>20</v>
      </c>
      <c r="B17" s="8">
        <v>23.96</v>
      </c>
      <c r="C17" s="4">
        <v>58.87</v>
      </c>
      <c r="D17" s="5">
        <v>17.16</v>
      </c>
      <c r="E17" s="8">
        <v>27.48</v>
      </c>
      <c r="F17" s="5">
        <v>52.68</v>
      </c>
      <c r="G17" s="5">
        <v>19.850000000000001</v>
      </c>
      <c r="H17" s="8">
        <v>35.950000000000003</v>
      </c>
      <c r="I17" s="5">
        <v>50.39</v>
      </c>
      <c r="J17" s="5">
        <v>13.66</v>
      </c>
      <c r="K17" s="8">
        <v>30.79</v>
      </c>
      <c r="L17" s="8">
        <v>45.62</v>
      </c>
      <c r="M17" s="8">
        <v>23.59</v>
      </c>
      <c r="N17" s="15">
        <v>26.21</v>
      </c>
      <c r="O17" s="14">
        <v>63.25</v>
      </c>
      <c r="P17" s="14">
        <v>10.55</v>
      </c>
    </row>
    <row r="18" spans="1:16" ht="15.5" x14ac:dyDescent="0.35">
      <c r="A18" s="4" t="s">
        <v>21</v>
      </c>
      <c r="B18" s="8">
        <v>13.7</v>
      </c>
      <c r="C18" s="4">
        <v>49.9</v>
      </c>
      <c r="D18" s="5">
        <v>36.4</v>
      </c>
      <c r="E18" s="8">
        <v>12.25</v>
      </c>
      <c r="F18" s="5">
        <v>41.85</v>
      </c>
      <c r="G18" s="5">
        <v>45.9</v>
      </c>
      <c r="H18" s="8">
        <v>9.67</v>
      </c>
      <c r="I18" s="5">
        <v>40.17</v>
      </c>
      <c r="J18" s="5">
        <v>50.16</v>
      </c>
      <c r="K18" s="8">
        <v>6.74</v>
      </c>
      <c r="L18" s="8">
        <v>56.02</v>
      </c>
      <c r="M18" s="8">
        <v>37.24</v>
      </c>
      <c r="N18" s="15">
        <v>8.7200000000000006</v>
      </c>
      <c r="O18" s="14">
        <v>49.88</v>
      </c>
      <c r="P18" s="14">
        <v>41.4</v>
      </c>
    </row>
    <row r="19" spans="1:16" ht="15.5" x14ac:dyDescent="0.35">
      <c r="A19" s="4" t="s">
        <v>22</v>
      </c>
      <c r="B19" s="8">
        <v>21.67</v>
      </c>
      <c r="C19" s="4">
        <v>50.28</v>
      </c>
      <c r="D19" s="5">
        <v>28.05</v>
      </c>
      <c r="E19" s="8">
        <v>19.12</v>
      </c>
      <c r="F19" s="5">
        <v>54.96</v>
      </c>
      <c r="G19" s="5">
        <v>25.93</v>
      </c>
      <c r="H19" s="8">
        <v>13.38</v>
      </c>
      <c r="I19" s="5">
        <v>55.49</v>
      </c>
      <c r="J19" s="5">
        <v>31.13</v>
      </c>
      <c r="K19" s="8">
        <v>17.62</v>
      </c>
      <c r="L19" s="8">
        <v>55.12</v>
      </c>
      <c r="M19" s="8">
        <v>27.26</v>
      </c>
      <c r="N19" s="15">
        <v>12.69</v>
      </c>
      <c r="O19" s="14">
        <v>63.01</v>
      </c>
      <c r="P19" s="14">
        <v>24.31</v>
      </c>
    </row>
    <row r="20" spans="1:16" ht="15.5" x14ac:dyDescent="0.35">
      <c r="A20" s="4" t="s">
        <v>23</v>
      </c>
      <c r="B20" s="8">
        <v>24.16</v>
      </c>
      <c r="C20" s="4">
        <v>58.46</v>
      </c>
      <c r="D20" s="5">
        <v>17.37</v>
      </c>
      <c r="E20" s="8">
        <v>16.850000000000001</v>
      </c>
      <c r="F20" s="5">
        <v>63.9</v>
      </c>
      <c r="G20" s="5">
        <v>19.25</v>
      </c>
      <c r="H20" s="8">
        <v>16.46</v>
      </c>
      <c r="I20" s="5">
        <v>59.8</v>
      </c>
      <c r="J20" s="5">
        <v>23.74</v>
      </c>
      <c r="K20" s="8">
        <v>12.36</v>
      </c>
      <c r="L20" s="8">
        <v>58.19</v>
      </c>
      <c r="M20" s="8">
        <v>29.44</v>
      </c>
      <c r="N20" s="15">
        <v>18.21</v>
      </c>
      <c r="O20" s="14">
        <v>61.7</v>
      </c>
      <c r="P20" s="14">
        <v>20.09</v>
      </c>
    </row>
    <row r="21" spans="1:16" ht="15.5" x14ac:dyDescent="0.35">
      <c r="A21" s="4" t="s">
        <v>24</v>
      </c>
      <c r="B21" s="8">
        <v>17.73</v>
      </c>
      <c r="C21" s="4">
        <v>61.35</v>
      </c>
      <c r="D21" s="5">
        <v>20.93</v>
      </c>
      <c r="E21" s="8">
        <v>21.66</v>
      </c>
      <c r="F21" s="5">
        <v>53.04</v>
      </c>
      <c r="G21" s="5">
        <v>25.29</v>
      </c>
      <c r="H21" s="8">
        <v>14.05</v>
      </c>
      <c r="I21" s="5">
        <v>62.04</v>
      </c>
      <c r="J21" s="5">
        <v>23.91</v>
      </c>
      <c r="K21" s="8">
        <v>21.56</v>
      </c>
      <c r="L21" s="8">
        <v>51.02</v>
      </c>
      <c r="M21" s="8">
        <v>27.42</v>
      </c>
      <c r="N21" s="15">
        <v>23.87</v>
      </c>
      <c r="O21" s="14">
        <v>51.68</v>
      </c>
      <c r="P21" s="14">
        <v>24.45</v>
      </c>
    </row>
    <row r="22" spans="1:16" ht="15.5" x14ac:dyDescent="0.35">
      <c r="A22" s="4" t="s">
        <v>25</v>
      </c>
      <c r="B22" s="8">
        <v>35.75</v>
      </c>
      <c r="C22" s="4">
        <v>48.21</v>
      </c>
      <c r="D22" s="5">
        <v>16.04</v>
      </c>
      <c r="E22" s="8">
        <v>28.05</v>
      </c>
      <c r="F22" s="5">
        <v>52.95</v>
      </c>
      <c r="G22" s="5">
        <v>19</v>
      </c>
      <c r="H22" s="8">
        <v>22.1</v>
      </c>
      <c r="I22" s="5">
        <v>51.33</v>
      </c>
      <c r="J22" s="5">
        <v>26.57</v>
      </c>
      <c r="K22" s="8">
        <v>24.91</v>
      </c>
      <c r="L22" s="8">
        <v>57.6</v>
      </c>
      <c r="M22" s="8">
        <v>17.489999999999998</v>
      </c>
      <c r="N22" s="15">
        <v>31.08</v>
      </c>
      <c r="O22" s="14">
        <v>46.65</v>
      </c>
      <c r="P22" s="14">
        <v>22.27</v>
      </c>
    </row>
    <row r="23" spans="1:16" ht="15.5" x14ac:dyDescent="0.35">
      <c r="A23" s="4" t="s">
        <v>26</v>
      </c>
      <c r="B23" s="8">
        <v>21.39</v>
      </c>
      <c r="C23" s="4">
        <v>51.64</v>
      </c>
      <c r="D23" s="5">
        <v>26.97</v>
      </c>
      <c r="E23" s="8">
        <v>23.12</v>
      </c>
      <c r="F23" s="5">
        <v>52.46</v>
      </c>
      <c r="G23" s="5">
        <v>24.42</v>
      </c>
      <c r="H23" s="8">
        <v>11.88</v>
      </c>
      <c r="I23" s="5">
        <v>50.6</v>
      </c>
      <c r="J23" s="5">
        <v>37.520000000000003</v>
      </c>
      <c r="K23" s="8">
        <v>14.01</v>
      </c>
      <c r="L23" s="8">
        <v>60.22</v>
      </c>
      <c r="M23" s="8">
        <v>25.78</v>
      </c>
      <c r="N23" s="15">
        <v>19.28</v>
      </c>
      <c r="O23" s="14">
        <v>59.39</v>
      </c>
      <c r="P23" s="14">
        <v>21.33</v>
      </c>
    </row>
    <row r="24" spans="1:16" ht="15.5" x14ac:dyDescent="0.35">
      <c r="A24" s="4" t="s">
        <v>27</v>
      </c>
      <c r="B24" s="8">
        <v>36.11</v>
      </c>
      <c r="C24" s="4">
        <v>47.98</v>
      </c>
      <c r="D24" s="5">
        <v>15.92</v>
      </c>
      <c r="E24" s="8">
        <v>25.64</v>
      </c>
      <c r="F24" s="5">
        <v>49.3</v>
      </c>
      <c r="G24" s="5">
        <v>25.06</v>
      </c>
      <c r="H24" s="8">
        <v>17.3</v>
      </c>
      <c r="I24" s="5">
        <v>57.99</v>
      </c>
      <c r="J24" s="5">
        <v>24.71</v>
      </c>
      <c r="K24" s="8">
        <v>22.3</v>
      </c>
      <c r="L24" s="8">
        <v>53.26</v>
      </c>
      <c r="M24" s="8">
        <v>24.43</v>
      </c>
      <c r="N24" s="15">
        <v>27.63</v>
      </c>
      <c r="O24" s="14">
        <v>44.07</v>
      </c>
      <c r="P24" s="14">
        <v>28.29</v>
      </c>
    </row>
    <row r="25" spans="1:16" ht="15.5" x14ac:dyDescent="0.35">
      <c r="A25" s="4" t="s">
        <v>28</v>
      </c>
      <c r="B25" s="8">
        <v>34.49</v>
      </c>
      <c r="C25" s="4">
        <v>46.43</v>
      </c>
      <c r="D25" s="5">
        <v>19.07</v>
      </c>
      <c r="E25" s="8">
        <v>31.61</v>
      </c>
      <c r="F25" s="5">
        <v>49.19</v>
      </c>
      <c r="G25" s="5">
        <v>19.190000000000001</v>
      </c>
      <c r="H25" s="8">
        <v>28.91</v>
      </c>
      <c r="I25" s="5">
        <v>52.33</v>
      </c>
      <c r="J25" s="5">
        <v>18.77</v>
      </c>
      <c r="K25" s="8">
        <v>27.33</v>
      </c>
      <c r="L25" s="8">
        <v>53.44</v>
      </c>
      <c r="M25" s="8">
        <v>19.239999999999998</v>
      </c>
      <c r="N25" s="15">
        <v>22.92</v>
      </c>
      <c r="O25" s="14">
        <v>57</v>
      </c>
      <c r="P25" s="14">
        <v>20.079999999999998</v>
      </c>
    </row>
    <row r="26" spans="1:16" ht="15.5" x14ac:dyDescent="0.35">
      <c r="A26" s="4" t="s">
        <v>29</v>
      </c>
      <c r="B26" s="8">
        <v>31.5</v>
      </c>
      <c r="C26" s="4">
        <v>54.55</v>
      </c>
      <c r="D26" s="5">
        <v>13.95</v>
      </c>
      <c r="E26" s="8">
        <v>19.46</v>
      </c>
      <c r="F26" s="5">
        <v>63.23</v>
      </c>
      <c r="G26" s="5">
        <v>17.309999999999999</v>
      </c>
      <c r="H26" s="8">
        <v>24.3</v>
      </c>
      <c r="I26" s="5">
        <v>56.06</v>
      </c>
      <c r="J26" s="5">
        <v>19.63</v>
      </c>
      <c r="K26" s="8">
        <v>23.34</v>
      </c>
      <c r="L26" s="8">
        <v>57.4</v>
      </c>
      <c r="M26" s="8">
        <v>19.27</v>
      </c>
      <c r="N26" s="15">
        <v>19.07</v>
      </c>
      <c r="O26" s="14">
        <v>59.45</v>
      </c>
      <c r="P26" s="14">
        <v>21.48</v>
      </c>
    </row>
    <row r="27" spans="1:16" ht="15.5" x14ac:dyDescent="0.35">
      <c r="A27" s="4" t="s">
        <v>30</v>
      </c>
      <c r="B27" s="8">
        <v>27.72</v>
      </c>
      <c r="C27" s="4">
        <v>48.49</v>
      </c>
      <c r="D27" s="5">
        <v>23.79</v>
      </c>
      <c r="E27" s="8">
        <v>22.61</v>
      </c>
      <c r="F27" s="5">
        <v>50.3</v>
      </c>
      <c r="G27" s="5">
        <v>27.09</v>
      </c>
      <c r="H27" s="8">
        <v>21.59</v>
      </c>
      <c r="I27" s="5">
        <v>49.64</v>
      </c>
      <c r="J27" s="5">
        <v>28.77</v>
      </c>
      <c r="K27" s="8">
        <v>17.75</v>
      </c>
      <c r="L27" s="8">
        <v>47.62</v>
      </c>
      <c r="M27" s="8">
        <v>34.630000000000003</v>
      </c>
      <c r="N27" s="15">
        <v>24.36</v>
      </c>
      <c r="O27" s="14">
        <v>45.92</v>
      </c>
      <c r="P27" s="14">
        <v>29.72</v>
      </c>
    </row>
    <row r="28" spans="1:16" ht="15.5" x14ac:dyDescent="0.35">
      <c r="A28" s="4" t="s">
        <v>31</v>
      </c>
      <c r="B28" s="8">
        <v>12.27</v>
      </c>
      <c r="C28" s="8">
        <v>53.2</v>
      </c>
      <c r="D28" s="8">
        <v>34.54</v>
      </c>
      <c r="E28" s="8">
        <v>11.18</v>
      </c>
      <c r="F28" s="5">
        <v>53.91</v>
      </c>
      <c r="G28" s="5">
        <v>34.92</v>
      </c>
      <c r="H28" s="8">
        <v>9.68</v>
      </c>
      <c r="I28" s="5">
        <v>57.18</v>
      </c>
      <c r="J28" s="5">
        <v>33.15</v>
      </c>
      <c r="K28" s="8">
        <v>8.3000000000000007</v>
      </c>
      <c r="L28" s="8">
        <v>51.32</v>
      </c>
      <c r="M28" s="8">
        <v>40.380000000000003</v>
      </c>
      <c r="N28" s="15">
        <v>5.9</v>
      </c>
      <c r="O28" s="14">
        <v>60.06</v>
      </c>
      <c r="P28" s="14">
        <v>34.049999999999997</v>
      </c>
    </row>
    <row r="29" spans="1:16" ht="15.5" x14ac:dyDescent="0.35">
      <c r="A29" s="4" t="s">
        <v>32</v>
      </c>
      <c r="B29" s="8">
        <v>32.880000000000003</v>
      </c>
      <c r="C29" s="8">
        <v>56.37</v>
      </c>
      <c r="D29" s="8">
        <v>10.74</v>
      </c>
      <c r="E29" s="8">
        <v>21.24</v>
      </c>
      <c r="F29" s="5">
        <v>66.8</v>
      </c>
      <c r="G29" s="5">
        <v>11.95</v>
      </c>
      <c r="H29" s="8">
        <v>29.58</v>
      </c>
      <c r="I29" s="5">
        <v>57.01</v>
      </c>
      <c r="J29" s="5">
        <v>13.41</v>
      </c>
      <c r="K29" s="8">
        <v>21.81</v>
      </c>
      <c r="L29" s="8">
        <v>62.74</v>
      </c>
      <c r="M29" s="8">
        <v>15.45</v>
      </c>
      <c r="N29" s="15">
        <v>23.29</v>
      </c>
      <c r="O29" s="14">
        <v>67.27</v>
      </c>
      <c r="P29" s="14">
        <v>9.4499999999999993</v>
      </c>
    </row>
    <row r="30" spans="1:16" ht="15.5" x14ac:dyDescent="0.35">
      <c r="A30" s="4" t="s">
        <v>33</v>
      </c>
      <c r="B30" s="8">
        <v>41.05</v>
      </c>
      <c r="C30" s="8">
        <v>45.61</v>
      </c>
      <c r="D30" s="8">
        <v>13.35</v>
      </c>
      <c r="E30" s="8">
        <v>39.18</v>
      </c>
      <c r="F30" s="5">
        <v>50.39</v>
      </c>
      <c r="G30" s="5">
        <v>10.43</v>
      </c>
      <c r="H30" s="8">
        <v>34.5</v>
      </c>
      <c r="I30" s="5">
        <v>50.84</v>
      </c>
      <c r="J30" s="5">
        <v>14.66</v>
      </c>
      <c r="K30" s="8">
        <v>35.770000000000003</v>
      </c>
      <c r="L30" s="8">
        <v>51.41</v>
      </c>
      <c r="M30" s="8">
        <v>12.82</v>
      </c>
      <c r="N30" s="15">
        <v>41.3</v>
      </c>
      <c r="O30" s="14">
        <v>52.07</v>
      </c>
      <c r="P30" s="14">
        <v>6.63</v>
      </c>
    </row>
    <row r="31" spans="1:16" ht="15.5" x14ac:dyDescent="0.35">
      <c r="A31" s="4" t="s">
        <v>34</v>
      </c>
      <c r="B31" s="8">
        <v>34.79</v>
      </c>
      <c r="C31" s="8">
        <v>44.15</v>
      </c>
      <c r="D31" s="8">
        <v>21.06</v>
      </c>
      <c r="E31" s="8">
        <v>31.7</v>
      </c>
      <c r="F31" s="5">
        <v>38.56</v>
      </c>
      <c r="G31" s="5">
        <v>29.74</v>
      </c>
      <c r="H31" s="8">
        <v>29.47</v>
      </c>
      <c r="I31" s="5">
        <v>40.520000000000003</v>
      </c>
      <c r="J31" s="5">
        <v>30.02</v>
      </c>
      <c r="K31" s="8">
        <v>27.41</v>
      </c>
      <c r="L31" s="8">
        <v>42.97</v>
      </c>
      <c r="M31" s="8">
        <v>29.61</v>
      </c>
      <c r="N31" s="15">
        <v>33.93</v>
      </c>
      <c r="O31" s="14">
        <v>33.64</v>
      </c>
      <c r="P31" s="14">
        <v>32.43</v>
      </c>
    </row>
    <row r="32" spans="1:16" ht="15.5" x14ac:dyDescent="0.35">
      <c r="A32" s="4" t="s">
        <v>35</v>
      </c>
      <c r="B32" s="8">
        <v>35.880000000000003</v>
      </c>
      <c r="C32" s="8">
        <v>42.09</v>
      </c>
      <c r="D32" s="8">
        <v>22.03</v>
      </c>
      <c r="E32" s="8">
        <v>39.57</v>
      </c>
      <c r="F32" s="5">
        <v>45.48</v>
      </c>
      <c r="G32" s="5">
        <v>14.95</v>
      </c>
      <c r="H32" s="8">
        <v>40.9</v>
      </c>
      <c r="I32" s="5">
        <v>39.630000000000003</v>
      </c>
      <c r="J32" s="5">
        <v>19.47</v>
      </c>
      <c r="K32" s="8">
        <v>37.53</v>
      </c>
      <c r="L32" s="8">
        <v>42.9</v>
      </c>
      <c r="M32" s="8">
        <v>19.57</v>
      </c>
      <c r="N32" s="15">
        <v>36.86</v>
      </c>
      <c r="O32" s="14">
        <v>44.78</v>
      </c>
      <c r="P32" s="14">
        <v>18.37</v>
      </c>
    </row>
    <row r="33" spans="1:16" ht="15.5" x14ac:dyDescent="0.35">
      <c r="A33" s="4" t="s">
        <v>36</v>
      </c>
      <c r="B33" s="8">
        <v>11.51</v>
      </c>
      <c r="C33" s="8">
        <v>47.42</v>
      </c>
      <c r="D33" s="8">
        <v>41.07</v>
      </c>
      <c r="E33" s="8">
        <v>10.27</v>
      </c>
      <c r="F33" s="5">
        <v>48.64</v>
      </c>
      <c r="G33" s="5">
        <v>41.09</v>
      </c>
      <c r="H33" s="8">
        <v>7.78</v>
      </c>
      <c r="I33" s="5">
        <v>54.33</v>
      </c>
      <c r="J33" s="5">
        <v>37.89</v>
      </c>
      <c r="K33" s="8">
        <v>3.41</v>
      </c>
      <c r="L33" s="8">
        <v>55.13</v>
      </c>
      <c r="M33" s="8">
        <v>41.46</v>
      </c>
      <c r="N33" s="15">
        <v>12.39</v>
      </c>
      <c r="O33" s="14">
        <v>46.1</v>
      </c>
      <c r="P33" s="14">
        <v>41.51</v>
      </c>
    </row>
    <row r="34" spans="1:16" ht="15.5" x14ac:dyDescent="0.35">
      <c r="A34" s="4" t="s">
        <v>37</v>
      </c>
      <c r="B34" s="8">
        <v>18.579999999999998</v>
      </c>
      <c r="C34" s="8">
        <v>53.39</v>
      </c>
      <c r="D34" s="8">
        <v>28.03</v>
      </c>
      <c r="E34" s="8">
        <v>12.03</v>
      </c>
      <c r="F34" s="5">
        <v>51.69</v>
      </c>
      <c r="G34" s="5">
        <v>36.28</v>
      </c>
      <c r="H34" s="8">
        <v>16.100000000000001</v>
      </c>
      <c r="I34" s="5">
        <v>49.09</v>
      </c>
      <c r="J34" s="5">
        <v>34.81</v>
      </c>
      <c r="K34" s="8">
        <v>20.36</v>
      </c>
      <c r="L34" s="8">
        <v>44.96</v>
      </c>
      <c r="M34" s="8">
        <v>34.68</v>
      </c>
      <c r="N34" s="15">
        <v>16.93</v>
      </c>
      <c r="O34" s="14">
        <v>57.6</v>
      </c>
      <c r="P34" s="14">
        <v>25.47</v>
      </c>
    </row>
    <row r="35" spans="1:16" ht="15.5" x14ac:dyDescent="0.35">
      <c r="A35" s="4" t="s">
        <v>38</v>
      </c>
      <c r="B35" s="8">
        <v>17.41</v>
      </c>
      <c r="C35" s="8">
        <v>44.69</v>
      </c>
      <c r="D35" s="8">
        <v>37.89</v>
      </c>
      <c r="E35" s="8">
        <v>18.52</v>
      </c>
      <c r="F35" s="5">
        <v>51.58</v>
      </c>
      <c r="G35" s="5">
        <v>29.9</v>
      </c>
      <c r="H35" s="8">
        <v>2.2000000000000002</v>
      </c>
      <c r="I35" s="5">
        <v>60.55</v>
      </c>
      <c r="J35" s="5">
        <v>37.25</v>
      </c>
      <c r="K35" s="8">
        <v>5.98</v>
      </c>
      <c r="L35" s="8">
        <v>48.81</v>
      </c>
      <c r="M35" s="8">
        <v>45.2</v>
      </c>
      <c r="N35" s="15">
        <v>16.62</v>
      </c>
      <c r="O35" s="14">
        <v>52.03</v>
      </c>
      <c r="P35" s="14">
        <v>31.35</v>
      </c>
    </row>
    <row r="36" spans="1:16" ht="15.5" x14ac:dyDescent="0.35">
      <c r="A36" s="4" t="s">
        <v>39</v>
      </c>
      <c r="B36" s="8">
        <v>15.71</v>
      </c>
      <c r="C36" s="8">
        <v>60.1</v>
      </c>
      <c r="D36" s="8">
        <v>24.19</v>
      </c>
      <c r="E36" s="8">
        <v>23</v>
      </c>
      <c r="F36" s="5">
        <v>43.34</v>
      </c>
      <c r="G36" s="5">
        <v>33.659999999999997</v>
      </c>
      <c r="H36" s="8">
        <v>16.260000000000002</v>
      </c>
      <c r="I36" s="5">
        <v>55.21</v>
      </c>
      <c r="J36" s="5">
        <v>28.54</v>
      </c>
      <c r="K36" s="8">
        <v>22.93</v>
      </c>
      <c r="L36" s="8">
        <v>42.21</v>
      </c>
      <c r="M36" s="8">
        <v>34.86</v>
      </c>
      <c r="N36" s="15">
        <v>10.14</v>
      </c>
      <c r="O36" s="14">
        <v>55.96</v>
      </c>
      <c r="P36" s="14">
        <v>33.9</v>
      </c>
    </row>
    <row r="37" spans="1:16" ht="15.5" x14ac:dyDescent="0.35">
      <c r="A37" s="4" t="s">
        <v>40</v>
      </c>
      <c r="B37" s="8">
        <v>26.49</v>
      </c>
      <c r="C37" s="8">
        <v>45.6</v>
      </c>
      <c r="D37" s="8">
        <v>27.9</v>
      </c>
      <c r="E37" s="8">
        <v>16.53</v>
      </c>
      <c r="F37" s="5">
        <v>58.21</v>
      </c>
      <c r="G37" s="5">
        <v>25.26</v>
      </c>
      <c r="H37" s="8">
        <v>14.04</v>
      </c>
      <c r="I37" s="5">
        <v>55.32</v>
      </c>
      <c r="J37" s="5">
        <v>30.65</v>
      </c>
      <c r="K37" s="8">
        <v>5.05</v>
      </c>
      <c r="L37" s="8">
        <v>53.99</v>
      </c>
      <c r="M37" s="8">
        <v>40.96</v>
      </c>
      <c r="N37" s="15">
        <v>13.74</v>
      </c>
      <c r="O37" s="14">
        <v>42.06</v>
      </c>
      <c r="P37" s="14">
        <v>44.21</v>
      </c>
    </row>
    <row r="38" spans="1:16" ht="15.5" x14ac:dyDescent="0.35">
      <c r="A38" s="4" t="s">
        <v>41</v>
      </c>
      <c r="B38" s="8">
        <v>15.36</v>
      </c>
      <c r="C38" s="8">
        <v>55.98</v>
      </c>
      <c r="D38" s="8">
        <v>28.66</v>
      </c>
      <c r="E38" s="8">
        <v>7.96</v>
      </c>
      <c r="F38" s="5">
        <v>48.11</v>
      </c>
      <c r="G38" s="5">
        <v>43.93</v>
      </c>
      <c r="H38" s="8">
        <v>9.2100000000000009</v>
      </c>
      <c r="I38" s="5">
        <v>51.16</v>
      </c>
      <c r="J38" s="5">
        <v>39.619999999999997</v>
      </c>
      <c r="K38" s="8">
        <v>10.210000000000001</v>
      </c>
      <c r="L38" s="8">
        <v>54.19</v>
      </c>
      <c r="M38" s="8">
        <v>35.590000000000003</v>
      </c>
      <c r="N38" s="15">
        <v>16.55</v>
      </c>
      <c r="O38" s="14">
        <v>40.19</v>
      </c>
      <c r="P38" s="14">
        <v>43.26</v>
      </c>
    </row>
    <row r="39" spans="1:16" ht="15.5" x14ac:dyDescent="0.35">
      <c r="A39" s="4" t="s">
        <v>42</v>
      </c>
      <c r="B39" s="8">
        <v>17.170000000000002</v>
      </c>
      <c r="C39" s="8">
        <v>52.46</v>
      </c>
      <c r="D39" s="8">
        <v>30.37</v>
      </c>
      <c r="E39" s="8">
        <v>8.74</v>
      </c>
      <c r="F39" s="5">
        <v>45.27</v>
      </c>
      <c r="G39" s="5">
        <v>45.98</v>
      </c>
      <c r="H39" s="8">
        <v>9.7100000000000009</v>
      </c>
      <c r="I39" s="5">
        <v>30.35</v>
      </c>
      <c r="J39" s="5">
        <v>59.94</v>
      </c>
      <c r="K39" s="8">
        <v>11.2</v>
      </c>
      <c r="L39" s="8">
        <v>37.99</v>
      </c>
      <c r="M39" s="8">
        <v>50.81</v>
      </c>
      <c r="N39" s="17" t="s">
        <v>153</v>
      </c>
      <c r="O39" s="14">
        <v>63.45</v>
      </c>
      <c r="P39" s="14">
        <v>28.79</v>
      </c>
    </row>
    <row r="40" spans="1:16" ht="15.5" x14ac:dyDescent="0.35">
      <c r="A40" s="4" t="s">
        <v>43</v>
      </c>
      <c r="B40" s="8">
        <v>9.3800000000000008</v>
      </c>
      <c r="C40" s="8">
        <v>62.04</v>
      </c>
      <c r="D40" s="8">
        <v>28.57</v>
      </c>
      <c r="E40" s="8">
        <v>21.4</v>
      </c>
      <c r="F40" s="5">
        <v>45.36</v>
      </c>
      <c r="G40" s="5">
        <v>33.24</v>
      </c>
      <c r="H40" s="8">
        <v>10.56</v>
      </c>
      <c r="I40" s="5">
        <v>49.99</v>
      </c>
      <c r="J40" s="5">
        <v>39.450000000000003</v>
      </c>
      <c r="K40" s="8">
        <v>13.17</v>
      </c>
      <c r="L40" s="8">
        <v>49.55</v>
      </c>
      <c r="M40" s="8">
        <v>37.28</v>
      </c>
      <c r="N40" s="15">
        <v>12.55</v>
      </c>
      <c r="O40" s="14">
        <v>45.5</v>
      </c>
      <c r="P40" s="14">
        <v>41.95</v>
      </c>
    </row>
    <row r="41" spans="1:16" ht="15.5" x14ac:dyDescent="0.35">
      <c r="A41" s="4" t="s">
        <v>44</v>
      </c>
      <c r="B41" s="8">
        <v>27.18</v>
      </c>
      <c r="C41" s="8">
        <v>44.66</v>
      </c>
      <c r="D41" s="8">
        <v>28.17</v>
      </c>
      <c r="E41" s="8">
        <v>6.42</v>
      </c>
      <c r="F41" s="5">
        <v>61.56</v>
      </c>
      <c r="G41" s="5">
        <v>32.020000000000003</v>
      </c>
      <c r="H41" s="8">
        <v>8.16</v>
      </c>
      <c r="I41" s="5">
        <v>36.42</v>
      </c>
      <c r="J41" s="5">
        <v>55.42</v>
      </c>
      <c r="K41" s="8">
        <v>5.41</v>
      </c>
      <c r="L41" s="8">
        <v>54.63</v>
      </c>
      <c r="M41" s="8">
        <v>39.96</v>
      </c>
      <c r="N41" s="15">
        <v>31.84</v>
      </c>
      <c r="O41" s="14">
        <v>58.17</v>
      </c>
      <c r="P41" s="18" t="s">
        <v>153</v>
      </c>
    </row>
    <row r="42" spans="1:16" ht="15.5" hidden="1" x14ac:dyDescent="0.35">
      <c r="A42" s="4" t="s">
        <v>45</v>
      </c>
      <c r="B42" s="8">
        <v>29.59</v>
      </c>
      <c r="C42" s="8">
        <v>50.9</v>
      </c>
      <c r="D42" s="8">
        <v>19.5</v>
      </c>
      <c r="E42" s="8">
        <v>27.68</v>
      </c>
      <c r="F42" s="5">
        <v>52.86</v>
      </c>
      <c r="G42" s="5">
        <v>20.46</v>
      </c>
      <c r="H42" s="8">
        <v>25.15</v>
      </c>
      <c r="I42" s="5">
        <v>52.49</v>
      </c>
      <c r="J42" s="5">
        <v>22.36</v>
      </c>
      <c r="K42" s="8">
        <v>24.87</v>
      </c>
      <c r="L42" s="8">
        <v>52.69</v>
      </c>
      <c r="M42" s="8">
        <v>22.44</v>
      </c>
      <c r="N42" s="8">
        <v>14.8</v>
      </c>
      <c r="O42" s="5">
        <v>48.18</v>
      </c>
      <c r="P42" s="5">
        <v>37.020000000000003</v>
      </c>
    </row>
    <row r="43" spans="1:16" ht="15.5" x14ac:dyDescent="0.35">
      <c r="K43" s="8"/>
      <c r="L43" s="8"/>
      <c r="M43" s="8"/>
    </row>
    <row r="44" spans="1:16" ht="15.5" x14ac:dyDescent="0.35">
      <c r="K44" s="8"/>
      <c r="L44" s="8"/>
      <c r="M44" s="8"/>
    </row>
    <row r="45" spans="1:16" ht="15.5" x14ac:dyDescent="0.35">
      <c r="K45" s="8"/>
      <c r="L45" s="8"/>
      <c r="M45" s="8"/>
    </row>
    <row r="46" spans="1:16" ht="15.5" x14ac:dyDescent="0.35">
      <c r="K46" s="8"/>
      <c r="L46" s="8"/>
      <c r="M46" s="8"/>
    </row>
    <row r="47" spans="1:16" ht="15.5" x14ac:dyDescent="0.35">
      <c r="K47" s="8"/>
      <c r="L47" s="8"/>
      <c r="M47" s="8"/>
    </row>
    <row r="48" spans="1:16" ht="15.5" x14ac:dyDescent="0.35">
      <c r="K48" s="8"/>
      <c r="L48" s="8"/>
      <c r="M48" s="8"/>
    </row>
    <row r="49" spans="11:13" ht="15.5" x14ac:dyDescent="0.35">
      <c r="K49" s="8"/>
      <c r="L49" s="8"/>
      <c r="M49" s="8"/>
    </row>
    <row r="50" spans="11:13" ht="15.5" x14ac:dyDescent="0.35">
      <c r="K50" s="8"/>
      <c r="L50" s="8"/>
      <c r="M50" s="8"/>
    </row>
    <row r="51" spans="11:13" ht="15.5" x14ac:dyDescent="0.35">
      <c r="K51" s="8"/>
      <c r="L51" s="8"/>
      <c r="M51" s="8"/>
    </row>
    <row r="52" spans="11:13" ht="15.5" x14ac:dyDescent="0.35">
      <c r="K52" s="8"/>
      <c r="L52" s="8"/>
      <c r="M52" s="8"/>
    </row>
    <row r="53" spans="11:13" ht="15.5" x14ac:dyDescent="0.35">
      <c r="K53" s="8"/>
      <c r="L53" s="8"/>
      <c r="M53" s="8"/>
    </row>
    <row r="54" spans="11:13" ht="15.5" x14ac:dyDescent="0.35">
      <c r="K54" s="8"/>
      <c r="L54" s="8"/>
      <c r="M54" s="8"/>
    </row>
    <row r="55" spans="11:13" ht="15.5" x14ac:dyDescent="0.35">
      <c r="K55" s="8"/>
      <c r="L55" s="8"/>
      <c r="M55" s="8"/>
    </row>
    <row r="56" spans="11:13" ht="15.5" x14ac:dyDescent="0.35">
      <c r="K56" s="8"/>
      <c r="L56" s="8"/>
      <c r="M56" s="8"/>
    </row>
    <row r="57" spans="11:13" ht="15.5" x14ac:dyDescent="0.35">
      <c r="K57" s="8"/>
      <c r="L57" s="8"/>
      <c r="M57" s="8"/>
    </row>
    <row r="58" spans="11:13" ht="15.5" x14ac:dyDescent="0.35">
      <c r="K58" s="8"/>
      <c r="L58" s="8"/>
      <c r="M58" s="8"/>
    </row>
    <row r="59" spans="11:13" ht="15.5" x14ac:dyDescent="0.35">
      <c r="K59" s="8"/>
      <c r="L59" s="8"/>
      <c r="M59" s="8"/>
    </row>
    <row r="60" spans="11:13" ht="15.5" x14ac:dyDescent="0.35">
      <c r="K60" s="8"/>
      <c r="L60" s="8"/>
      <c r="M60" s="8"/>
    </row>
    <row r="61" spans="11:13" ht="15.5" x14ac:dyDescent="0.35">
      <c r="K61" s="8"/>
      <c r="L61" s="8"/>
      <c r="M61" s="8"/>
    </row>
    <row r="62" spans="11:13" ht="15.5" x14ac:dyDescent="0.35">
      <c r="K62" s="8"/>
      <c r="L62" s="8"/>
      <c r="M62" s="8"/>
    </row>
    <row r="63" spans="11:13" ht="15.5" x14ac:dyDescent="0.35">
      <c r="K63" s="8"/>
      <c r="L63" s="8"/>
      <c r="M63" s="8"/>
    </row>
    <row r="64" spans="11:13" ht="15.5" x14ac:dyDescent="0.35">
      <c r="K64" s="8"/>
      <c r="L64" s="8"/>
      <c r="M64" s="8"/>
    </row>
    <row r="65" spans="11:13" ht="15.5" x14ac:dyDescent="0.35">
      <c r="K65" s="8"/>
      <c r="L65" s="8"/>
      <c r="M65" s="8"/>
    </row>
    <row r="66" spans="11:13" ht="15.5" x14ac:dyDescent="0.35">
      <c r="K66" s="8"/>
      <c r="L66" s="8"/>
      <c r="M66" s="8"/>
    </row>
    <row r="67" spans="11:13" ht="15.5" x14ac:dyDescent="0.35">
      <c r="K67" s="8"/>
      <c r="L67" s="8"/>
      <c r="M67" s="8"/>
    </row>
    <row r="68" spans="11:13" ht="15.5" x14ac:dyDescent="0.35">
      <c r="K68" s="8"/>
      <c r="L68" s="8"/>
      <c r="M68" s="8"/>
    </row>
    <row r="69" spans="11:13" ht="15.5" x14ac:dyDescent="0.35">
      <c r="K69" s="8"/>
      <c r="L69" s="8"/>
      <c r="M69" s="8"/>
    </row>
    <row r="70" spans="11:13" ht="15.5" x14ac:dyDescent="0.35">
      <c r="K70" s="8"/>
      <c r="L70" s="8"/>
      <c r="M70" s="8"/>
    </row>
    <row r="71" spans="11:13" ht="15.5" x14ac:dyDescent="0.35">
      <c r="K71" s="8"/>
      <c r="L71" s="8"/>
      <c r="M71" s="8"/>
    </row>
    <row r="72" spans="11:13" ht="15.5" x14ac:dyDescent="0.35">
      <c r="K72" s="8"/>
      <c r="L72" s="8"/>
      <c r="M72" s="8"/>
    </row>
    <row r="73" spans="11:13" ht="15.5" x14ac:dyDescent="0.35">
      <c r="K73" s="8"/>
      <c r="L73" s="8"/>
      <c r="M73" s="8"/>
    </row>
    <row r="74" spans="11:13" ht="15.5" x14ac:dyDescent="0.35">
      <c r="K74" s="8"/>
      <c r="L74" s="8"/>
      <c r="M74" s="8"/>
    </row>
    <row r="75" spans="11:13" ht="15.5" x14ac:dyDescent="0.35">
      <c r="K75" s="8"/>
      <c r="L75" s="8"/>
      <c r="M75" s="8"/>
    </row>
    <row r="76" spans="11:13" ht="15.5" x14ac:dyDescent="0.35">
      <c r="K76" s="8"/>
      <c r="L76" s="8"/>
      <c r="M76" s="8"/>
    </row>
    <row r="77" spans="11:13" ht="15.5" x14ac:dyDescent="0.35">
      <c r="K77" s="8"/>
      <c r="L77" s="8"/>
      <c r="M77" s="8"/>
    </row>
    <row r="78" spans="11:13" ht="15.5" x14ac:dyDescent="0.35">
      <c r="K78" s="8"/>
      <c r="L78" s="8"/>
      <c r="M78" s="8"/>
    </row>
    <row r="79" spans="11:13" ht="15.5" x14ac:dyDescent="0.35">
      <c r="K79" s="8"/>
      <c r="L79" s="8"/>
      <c r="M79" s="8"/>
    </row>
    <row r="80" spans="11:13" ht="15.5" x14ac:dyDescent="0.35">
      <c r="K80" s="8"/>
      <c r="L80" s="8"/>
      <c r="M80" s="8"/>
    </row>
    <row r="81" spans="11:13" ht="15.5" x14ac:dyDescent="0.35">
      <c r="K81" s="8"/>
      <c r="L81" s="8"/>
      <c r="M81" s="8"/>
    </row>
    <row r="82" spans="11:13" ht="15.5" x14ac:dyDescent="0.35">
      <c r="K82" s="8"/>
      <c r="L82" s="8"/>
      <c r="M82" s="8"/>
    </row>
    <row r="83" spans="11:13" ht="15.5" x14ac:dyDescent="0.35">
      <c r="K83" s="8"/>
      <c r="L83" s="8"/>
      <c r="M83" s="8"/>
    </row>
    <row r="84" spans="11:13" ht="15.5" x14ac:dyDescent="0.35">
      <c r="K84" s="8"/>
      <c r="L84" s="8"/>
      <c r="M84" s="8"/>
    </row>
    <row r="85" spans="11:13" ht="15.5" x14ac:dyDescent="0.35">
      <c r="K85" s="8"/>
      <c r="L85" s="8"/>
      <c r="M85" s="8"/>
    </row>
    <row r="86" spans="11:13" ht="15.5" x14ac:dyDescent="0.35">
      <c r="K86" s="8"/>
      <c r="L86" s="8"/>
      <c r="M86" s="8"/>
    </row>
    <row r="87" spans="11:13" ht="15.5" x14ac:dyDescent="0.35">
      <c r="K87" s="8"/>
      <c r="L87" s="8"/>
      <c r="M87" s="8"/>
    </row>
    <row r="88" spans="11:13" ht="15.5" x14ac:dyDescent="0.35">
      <c r="K88" s="8"/>
      <c r="L88" s="8"/>
      <c r="M88" s="8"/>
    </row>
    <row r="89" spans="11:13" ht="15.5" x14ac:dyDescent="0.35">
      <c r="K89" s="8"/>
      <c r="L89" s="8"/>
      <c r="M89" s="8"/>
    </row>
    <row r="90" spans="11:13" ht="15.5" x14ac:dyDescent="0.35">
      <c r="K90" s="8"/>
      <c r="L90" s="8"/>
      <c r="M90" s="8"/>
    </row>
    <row r="91" spans="11:13" ht="15.5" x14ac:dyDescent="0.35">
      <c r="K91" s="8"/>
      <c r="L91" s="8"/>
      <c r="M91" s="8"/>
    </row>
    <row r="92" spans="11:13" ht="15.5" x14ac:dyDescent="0.35">
      <c r="K92" s="8"/>
      <c r="L92" s="8"/>
      <c r="M92" s="8"/>
    </row>
    <row r="93" spans="11:13" ht="15.5" x14ac:dyDescent="0.35">
      <c r="K93" s="8"/>
      <c r="L93" s="8"/>
      <c r="M93" s="8"/>
    </row>
    <row r="94" spans="11:13" ht="15.5" x14ac:dyDescent="0.35">
      <c r="K94" s="8"/>
      <c r="L94" s="8"/>
      <c r="M94" s="8"/>
    </row>
    <row r="95" spans="11:13" ht="15.5" x14ac:dyDescent="0.35">
      <c r="K95" s="8"/>
      <c r="L95" s="8"/>
      <c r="M95" s="8"/>
    </row>
    <row r="96" spans="11:13" ht="15.5" x14ac:dyDescent="0.35">
      <c r="K96" s="8"/>
      <c r="L96" s="8"/>
      <c r="M96" s="8"/>
    </row>
    <row r="97" spans="11:13" ht="15.5" x14ac:dyDescent="0.35">
      <c r="K97" s="8"/>
      <c r="L97" s="8"/>
      <c r="M97" s="8"/>
    </row>
    <row r="98" spans="11:13" ht="15.5" x14ac:dyDescent="0.35">
      <c r="K98" s="8"/>
      <c r="L98" s="8"/>
      <c r="M98" s="8"/>
    </row>
    <row r="99" spans="11:13" ht="15.5" x14ac:dyDescent="0.35">
      <c r="K99" s="8"/>
      <c r="L99" s="8"/>
      <c r="M99" s="8"/>
    </row>
    <row r="100" spans="11:13" ht="15.5" x14ac:dyDescent="0.35">
      <c r="K100" s="8"/>
      <c r="L100" s="8"/>
      <c r="M100" s="8"/>
    </row>
    <row r="101" spans="11:13" ht="15.5" x14ac:dyDescent="0.35">
      <c r="K101" s="8"/>
      <c r="L101" s="8"/>
      <c r="M101" s="8"/>
    </row>
    <row r="102" spans="11:13" ht="15.5" x14ac:dyDescent="0.35">
      <c r="K102" s="8"/>
      <c r="L102" s="8"/>
      <c r="M102" s="8"/>
    </row>
    <row r="103" spans="11:13" ht="15.5" x14ac:dyDescent="0.35">
      <c r="K103" s="8"/>
      <c r="L103" s="8"/>
      <c r="M103" s="8"/>
    </row>
    <row r="104" spans="11:13" ht="15.5" x14ac:dyDescent="0.35">
      <c r="K104" s="8"/>
      <c r="L104" s="8"/>
      <c r="M104" s="8"/>
    </row>
    <row r="105" spans="11:13" ht="15.5" x14ac:dyDescent="0.35">
      <c r="K105" s="8"/>
      <c r="L105" s="8"/>
      <c r="M105" s="8"/>
    </row>
    <row r="106" spans="11:13" ht="15.5" x14ac:dyDescent="0.35">
      <c r="K106" s="8"/>
      <c r="L106" s="8"/>
      <c r="M106" s="8"/>
    </row>
    <row r="107" spans="11:13" ht="15.5" x14ac:dyDescent="0.35">
      <c r="K107" s="8"/>
      <c r="L107" s="8"/>
      <c r="M107" s="8"/>
    </row>
    <row r="108" spans="11:13" ht="15.5" x14ac:dyDescent="0.35">
      <c r="K108" s="8"/>
      <c r="L108" s="8"/>
      <c r="M108" s="8"/>
    </row>
    <row r="109" spans="11:13" ht="15.5" x14ac:dyDescent="0.35">
      <c r="K109" s="8"/>
      <c r="L109" s="8"/>
      <c r="M109" s="8"/>
    </row>
    <row r="110" spans="11:13" ht="15.5" x14ac:dyDescent="0.35">
      <c r="K110" s="8"/>
      <c r="L110" s="8"/>
      <c r="M110" s="8"/>
    </row>
    <row r="111" spans="11:13" ht="15.5" x14ac:dyDescent="0.35">
      <c r="K111" s="8"/>
      <c r="L111" s="8"/>
      <c r="M111" s="8"/>
    </row>
    <row r="112" spans="11:13" ht="15.5" x14ac:dyDescent="0.35">
      <c r="K112" s="8"/>
      <c r="L112" s="8"/>
      <c r="M112" s="8"/>
    </row>
    <row r="113" spans="11:13" ht="15.5" x14ac:dyDescent="0.35">
      <c r="K113" s="8"/>
      <c r="L113" s="8"/>
      <c r="M113" s="8"/>
    </row>
    <row r="114" spans="11:13" ht="15.5" x14ac:dyDescent="0.35">
      <c r="K114" s="8"/>
      <c r="L114" s="8"/>
      <c r="M114" s="8"/>
    </row>
    <row r="115" spans="11:13" ht="15.5" x14ac:dyDescent="0.35">
      <c r="K115" s="8"/>
      <c r="L115" s="8"/>
      <c r="M115" s="8"/>
    </row>
    <row r="116" spans="11:13" ht="15.5" x14ac:dyDescent="0.35">
      <c r="K116" s="8"/>
      <c r="L116" s="8"/>
      <c r="M116" s="8"/>
    </row>
    <row r="117" spans="11:13" ht="15.5" x14ac:dyDescent="0.35">
      <c r="K117" s="8"/>
      <c r="L117" s="8"/>
      <c r="M117" s="8"/>
    </row>
    <row r="118" spans="11:13" ht="15.5" x14ac:dyDescent="0.35">
      <c r="K118" s="8"/>
      <c r="L118" s="8"/>
      <c r="M118" s="8"/>
    </row>
    <row r="119" spans="11:13" ht="15.5" x14ac:dyDescent="0.35">
      <c r="K119" s="8"/>
      <c r="L119" s="8"/>
      <c r="M119" s="8"/>
    </row>
    <row r="120" spans="11:13" ht="15.5" x14ac:dyDescent="0.35">
      <c r="K120" s="8"/>
      <c r="L120" s="8"/>
      <c r="M120" s="8"/>
    </row>
    <row r="121" spans="11:13" ht="15.5" x14ac:dyDescent="0.35">
      <c r="K121" s="8"/>
      <c r="L121" s="8"/>
      <c r="M121" s="8"/>
    </row>
    <row r="122" spans="11:13" ht="15.5" x14ac:dyDescent="0.35">
      <c r="K122" s="8"/>
      <c r="L122" s="8"/>
      <c r="M122" s="8"/>
    </row>
    <row r="123" spans="11:13" ht="15.5" x14ac:dyDescent="0.35">
      <c r="K123" s="8"/>
      <c r="L123" s="8"/>
      <c r="M123" s="8"/>
    </row>
    <row r="124" spans="11:13" ht="15.5" x14ac:dyDescent="0.35">
      <c r="K124" s="8"/>
      <c r="L124" s="8"/>
      <c r="M124" s="8"/>
    </row>
    <row r="125" spans="11:13" ht="15.5" x14ac:dyDescent="0.35">
      <c r="K125" s="8"/>
      <c r="L125" s="8"/>
      <c r="M125" s="8"/>
    </row>
    <row r="126" spans="11:13" ht="15.5" x14ac:dyDescent="0.35">
      <c r="K126" s="8"/>
      <c r="L126" s="8"/>
      <c r="M126" s="8"/>
    </row>
    <row r="127" spans="11:13" ht="15.5" x14ac:dyDescent="0.35">
      <c r="K127" s="8"/>
      <c r="L127" s="8"/>
      <c r="M127" s="8"/>
    </row>
    <row r="128" spans="11:13" ht="15.5" x14ac:dyDescent="0.35">
      <c r="K128" s="8"/>
      <c r="L128" s="8"/>
      <c r="M128" s="8"/>
    </row>
    <row r="129" spans="11:13" ht="15.5" x14ac:dyDescent="0.35">
      <c r="K129" s="8"/>
      <c r="L129" s="8"/>
      <c r="M129" s="8"/>
    </row>
    <row r="130" spans="11:13" ht="15.5" x14ac:dyDescent="0.35">
      <c r="K130" s="8"/>
      <c r="L130" s="8"/>
      <c r="M130" s="8"/>
    </row>
    <row r="131" spans="11:13" ht="15.5" x14ac:dyDescent="0.35">
      <c r="K131" s="8"/>
      <c r="L131" s="8"/>
      <c r="M131" s="8"/>
    </row>
    <row r="132" spans="11:13" ht="15.5" x14ac:dyDescent="0.35">
      <c r="K132" s="8"/>
      <c r="L132" s="8"/>
      <c r="M132" s="8"/>
    </row>
    <row r="133" spans="11:13" ht="15.5" x14ac:dyDescent="0.35">
      <c r="K133" s="8"/>
      <c r="L133" s="8"/>
      <c r="M133" s="8"/>
    </row>
    <row r="134" spans="11:13" ht="15.5" x14ac:dyDescent="0.35">
      <c r="K134" s="8"/>
      <c r="L134" s="8"/>
      <c r="M134" s="8"/>
    </row>
    <row r="135" spans="11:13" ht="15.5" x14ac:dyDescent="0.35">
      <c r="K135" s="8"/>
      <c r="L135" s="8"/>
      <c r="M135" s="8"/>
    </row>
    <row r="136" spans="11:13" ht="15.5" x14ac:dyDescent="0.35">
      <c r="K136" s="8"/>
      <c r="L136" s="8"/>
      <c r="M136" s="8"/>
    </row>
    <row r="137" spans="11:13" ht="15.5" x14ac:dyDescent="0.35">
      <c r="K137" s="8"/>
      <c r="L137" s="8"/>
      <c r="M137" s="8"/>
    </row>
    <row r="138" spans="11:13" ht="15.5" x14ac:dyDescent="0.35">
      <c r="K138" s="8"/>
      <c r="L138" s="8"/>
      <c r="M138" s="8"/>
    </row>
    <row r="139" spans="11:13" ht="15.5" x14ac:dyDescent="0.35">
      <c r="K139" s="8"/>
      <c r="L139" s="8"/>
      <c r="M139" s="8"/>
    </row>
    <row r="140" spans="11:13" ht="15.5" x14ac:dyDescent="0.35">
      <c r="K140" s="8"/>
      <c r="L140" s="8"/>
      <c r="M140" s="8"/>
    </row>
    <row r="141" spans="11:13" ht="15.5" x14ac:dyDescent="0.35">
      <c r="K141" s="8"/>
      <c r="L141" s="8"/>
      <c r="M141" s="8"/>
    </row>
    <row r="142" spans="11:13" ht="15.5" x14ac:dyDescent="0.35">
      <c r="K142" s="8"/>
      <c r="L142" s="8"/>
      <c r="M142" s="8"/>
    </row>
    <row r="143" spans="11:13" ht="15.5" x14ac:dyDescent="0.35">
      <c r="K143" s="8"/>
      <c r="L143" s="8"/>
      <c r="M143" s="8"/>
    </row>
    <row r="144" spans="11:13" ht="15.5" x14ac:dyDescent="0.35">
      <c r="K144" s="8"/>
      <c r="L144" s="8"/>
      <c r="M144" s="8"/>
    </row>
    <row r="145" spans="11:13" ht="15.5" x14ac:dyDescent="0.35">
      <c r="K145" s="8"/>
      <c r="L145" s="8"/>
      <c r="M145" s="8"/>
    </row>
    <row r="146" spans="11:13" ht="15.5" x14ac:dyDescent="0.35">
      <c r="K146" s="8"/>
      <c r="L146" s="8"/>
      <c r="M146" s="8"/>
    </row>
    <row r="147" spans="11:13" ht="15.5" x14ac:dyDescent="0.35">
      <c r="K147" s="8"/>
      <c r="L147" s="8"/>
      <c r="M147" s="8"/>
    </row>
    <row r="148" spans="11:13" ht="15.5" x14ac:dyDescent="0.35">
      <c r="K148" s="8"/>
      <c r="L148" s="8"/>
      <c r="M148" s="8"/>
    </row>
    <row r="149" spans="11:13" ht="15.5" x14ac:dyDescent="0.35">
      <c r="K149" s="8"/>
      <c r="L149" s="8"/>
      <c r="M149" s="8"/>
    </row>
    <row r="150" spans="11:13" ht="15.5" x14ac:dyDescent="0.35">
      <c r="K150" s="8"/>
      <c r="L150" s="8"/>
      <c r="M150" s="8"/>
    </row>
    <row r="151" spans="11:13" ht="15.5" x14ac:dyDescent="0.35">
      <c r="K151" s="8"/>
      <c r="L151" s="8"/>
      <c r="M151" s="8"/>
    </row>
    <row r="152" spans="11:13" ht="15.5" x14ac:dyDescent="0.35">
      <c r="K152" s="8"/>
      <c r="L152" s="8"/>
      <c r="M152" s="8"/>
    </row>
    <row r="153" spans="11:13" ht="15.5" x14ac:dyDescent="0.35">
      <c r="K153" s="8"/>
      <c r="L153" s="8"/>
      <c r="M153" s="8"/>
    </row>
    <row r="154" spans="11:13" ht="15.5" x14ac:dyDescent="0.35">
      <c r="K154" s="8"/>
      <c r="L154" s="8"/>
      <c r="M154" s="8"/>
    </row>
    <row r="155" spans="11:13" ht="15.5" x14ac:dyDescent="0.35">
      <c r="K155" s="8"/>
      <c r="L155" s="8"/>
      <c r="M155" s="8"/>
    </row>
    <row r="156" spans="11:13" ht="15.5" x14ac:dyDescent="0.35">
      <c r="K156" s="8"/>
      <c r="L156" s="8"/>
      <c r="M156" s="8"/>
    </row>
    <row r="157" spans="11:13" ht="15.5" x14ac:dyDescent="0.35">
      <c r="K157" s="8"/>
      <c r="L157" s="8"/>
      <c r="M157" s="8"/>
    </row>
    <row r="158" spans="11:13" ht="15.5" x14ac:dyDescent="0.35">
      <c r="K158" s="8"/>
      <c r="L158" s="8"/>
      <c r="M158" s="8"/>
    </row>
    <row r="159" spans="11:13" ht="15.5" x14ac:dyDescent="0.35">
      <c r="K159" s="8"/>
      <c r="L159" s="8"/>
      <c r="M159" s="8"/>
    </row>
    <row r="160" spans="11:13" ht="15.5" x14ac:dyDescent="0.35">
      <c r="K160" s="8"/>
      <c r="L160" s="8"/>
      <c r="M160" s="8"/>
    </row>
    <row r="161" spans="11:13" ht="15.5" x14ac:dyDescent="0.35">
      <c r="K161" s="8"/>
      <c r="L161" s="8"/>
      <c r="M161" s="8"/>
    </row>
    <row r="162" spans="11:13" ht="15.5" x14ac:dyDescent="0.35">
      <c r="K162" s="8"/>
      <c r="L162" s="8"/>
      <c r="M162" s="8"/>
    </row>
    <row r="163" spans="11:13" ht="15.5" x14ac:dyDescent="0.35">
      <c r="K163" s="8"/>
      <c r="L163" s="8"/>
      <c r="M163" s="8"/>
    </row>
    <row r="164" spans="11:13" ht="15.5" x14ac:dyDescent="0.35">
      <c r="K164" s="8"/>
      <c r="L164" s="8"/>
      <c r="M164" s="8"/>
    </row>
    <row r="165" spans="11:13" ht="15.5" x14ac:dyDescent="0.35">
      <c r="K165" s="8"/>
      <c r="L165" s="8"/>
      <c r="M165" s="8"/>
    </row>
    <row r="166" spans="11:13" ht="15.5" x14ac:dyDescent="0.35">
      <c r="K166" s="8"/>
      <c r="L166" s="8"/>
      <c r="M166" s="8"/>
    </row>
    <row r="167" spans="11:13" ht="15.5" x14ac:dyDescent="0.35">
      <c r="K167" s="8"/>
      <c r="L167" s="8"/>
      <c r="M167" s="8"/>
    </row>
    <row r="168" spans="11:13" ht="15.5" x14ac:dyDescent="0.35">
      <c r="K168" s="8"/>
      <c r="L168" s="8"/>
      <c r="M168" s="8"/>
    </row>
    <row r="169" spans="11:13" ht="15.5" x14ac:dyDescent="0.35">
      <c r="K169" s="8"/>
      <c r="L169" s="8"/>
      <c r="M169" s="8"/>
    </row>
    <row r="170" spans="11:13" ht="15.5" x14ac:dyDescent="0.35">
      <c r="K170" s="8"/>
      <c r="L170" s="8"/>
      <c r="M170" s="8"/>
    </row>
    <row r="171" spans="11:13" ht="15.5" x14ac:dyDescent="0.35">
      <c r="K171" s="8"/>
      <c r="L171" s="8"/>
      <c r="M171" s="8"/>
    </row>
    <row r="172" spans="11:13" ht="15.5" x14ac:dyDescent="0.35">
      <c r="K172" s="8"/>
      <c r="L172" s="8"/>
      <c r="M172" s="8"/>
    </row>
    <row r="173" spans="11:13" ht="15.5" x14ac:dyDescent="0.35">
      <c r="K173" s="8"/>
      <c r="L173" s="8"/>
      <c r="M173" s="8"/>
    </row>
    <row r="174" spans="11:13" ht="15.5" x14ac:dyDescent="0.35">
      <c r="K174" s="8"/>
      <c r="L174" s="8"/>
      <c r="M174" s="8"/>
    </row>
    <row r="175" spans="11:13" ht="15.5" x14ac:dyDescent="0.35">
      <c r="K175" s="8"/>
      <c r="L175" s="8"/>
      <c r="M175" s="8"/>
    </row>
    <row r="176" spans="11:13" ht="15.5" x14ac:dyDescent="0.35">
      <c r="K176" s="8"/>
      <c r="L176" s="8"/>
      <c r="M176" s="8"/>
    </row>
    <row r="177" spans="11:13" ht="15.5" x14ac:dyDescent="0.35">
      <c r="K177" s="8"/>
      <c r="L177" s="8"/>
      <c r="M177" s="8"/>
    </row>
    <row r="178" spans="11:13" ht="15.5" x14ac:dyDescent="0.35">
      <c r="K178" s="8"/>
      <c r="L178" s="8"/>
      <c r="M178" s="8"/>
    </row>
    <row r="179" spans="11:13" ht="15.5" x14ac:dyDescent="0.35">
      <c r="K179" s="8"/>
      <c r="L179" s="8"/>
      <c r="M179" s="8"/>
    </row>
    <row r="180" spans="11:13" ht="15.5" x14ac:dyDescent="0.35">
      <c r="K180" s="8"/>
      <c r="L180" s="8"/>
      <c r="M180" s="8"/>
    </row>
    <row r="181" spans="11:13" ht="15.5" x14ac:dyDescent="0.35">
      <c r="K181" s="8"/>
      <c r="L181" s="8"/>
      <c r="M181" s="8"/>
    </row>
    <row r="182" spans="11:13" ht="15.5" x14ac:dyDescent="0.35">
      <c r="K182" s="8"/>
      <c r="L182" s="8"/>
      <c r="M182" s="8"/>
    </row>
    <row r="183" spans="11:13" ht="15.5" x14ac:dyDescent="0.35">
      <c r="K183" s="8"/>
      <c r="L183" s="8"/>
      <c r="M183" s="8"/>
    </row>
    <row r="184" spans="11:13" ht="15.5" x14ac:dyDescent="0.35">
      <c r="K184" s="8"/>
      <c r="L184" s="8"/>
      <c r="M184" s="8"/>
    </row>
    <row r="185" spans="11:13" ht="15.5" x14ac:dyDescent="0.35">
      <c r="K185" s="8"/>
      <c r="L185" s="8"/>
      <c r="M185" s="8"/>
    </row>
    <row r="186" spans="11:13" ht="15.5" x14ac:dyDescent="0.35">
      <c r="K186" s="8"/>
      <c r="L186" s="8"/>
      <c r="M186" s="8"/>
    </row>
    <row r="187" spans="11:13" ht="15.5" x14ac:dyDescent="0.35">
      <c r="K187" s="8"/>
      <c r="L187" s="8"/>
      <c r="M187" s="8"/>
    </row>
    <row r="188" spans="11:13" ht="15.5" x14ac:dyDescent="0.35">
      <c r="K188" s="8"/>
      <c r="L188" s="8"/>
      <c r="M188" s="8"/>
    </row>
    <row r="189" spans="11:13" ht="15.5" x14ac:dyDescent="0.35">
      <c r="K189" s="8"/>
      <c r="L189" s="8"/>
      <c r="M189" s="8"/>
    </row>
    <row r="190" spans="11:13" ht="15.5" x14ac:dyDescent="0.35">
      <c r="K190" s="8"/>
      <c r="L190" s="8"/>
      <c r="M190" s="8"/>
    </row>
    <row r="191" spans="11:13" ht="15.5" x14ac:dyDescent="0.35">
      <c r="K191" s="8"/>
      <c r="L191" s="8"/>
      <c r="M191" s="8"/>
    </row>
    <row r="192" spans="11:13" ht="15.5" x14ac:dyDescent="0.35">
      <c r="K192" s="8"/>
      <c r="L192" s="8"/>
      <c r="M192" s="8"/>
    </row>
    <row r="193" spans="11:13" ht="15.5" x14ac:dyDescent="0.35">
      <c r="K193" s="8"/>
      <c r="L193" s="8"/>
      <c r="M193" s="8"/>
    </row>
    <row r="194" spans="11:13" ht="15.5" x14ac:dyDescent="0.35">
      <c r="K194" s="8"/>
      <c r="L194" s="8"/>
      <c r="M194" s="8"/>
    </row>
    <row r="195" spans="11:13" ht="15.5" x14ac:dyDescent="0.35">
      <c r="K195" s="8"/>
      <c r="L195" s="8"/>
      <c r="M195" s="8"/>
    </row>
    <row r="196" spans="11:13" ht="15.5" x14ac:dyDescent="0.35">
      <c r="K196" s="8"/>
      <c r="L196" s="8"/>
      <c r="M196" s="8"/>
    </row>
    <row r="197" spans="11:13" ht="15.5" x14ac:dyDescent="0.35">
      <c r="K197" s="8"/>
      <c r="L197" s="8"/>
      <c r="M197" s="8"/>
    </row>
    <row r="198" spans="11:13" ht="15.5" x14ac:dyDescent="0.35">
      <c r="K198" s="8"/>
      <c r="L198" s="8"/>
      <c r="M198" s="8"/>
    </row>
    <row r="199" spans="11:13" ht="15.5" x14ac:dyDescent="0.35">
      <c r="K199" s="8"/>
      <c r="L199" s="8"/>
      <c r="M199" s="8"/>
    </row>
    <row r="200" spans="11:13" ht="15.5" x14ac:dyDescent="0.35">
      <c r="K200" s="8"/>
      <c r="L200" s="8"/>
      <c r="M200" s="8"/>
    </row>
    <row r="201" spans="11:13" ht="15.5" x14ac:dyDescent="0.35">
      <c r="K201" s="8"/>
      <c r="L201" s="8"/>
      <c r="M201" s="8"/>
    </row>
    <row r="202" spans="11:13" ht="15.5" x14ac:dyDescent="0.35">
      <c r="K202" s="8"/>
      <c r="L202" s="8"/>
      <c r="M202" s="8"/>
    </row>
    <row r="203" spans="11:13" ht="15.5" x14ac:dyDescent="0.35">
      <c r="K203" s="8"/>
      <c r="L203" s="8"/>
      <c r="M203" s="8"/>
    </row>
    <row r="204" spans="11:13" ht="15.5" x14ac:dyDescent="0.35">
      <c r="K204" s="8"/>
      <c r="L204" s="8"/>
      <c r="M204" s="8"/>
    </row>
    <row r="205" spans="11:13" ht="15.5" x14ac:dyDescent="0.35">
      <c r="K205" s="8"/>
      <c r="L205" s="8"/>
      <c r="M205" s="8"/>
    </row>
    <row r="206" spans="11:13" ht="15.5" x14ac:dyDescent="0.35">
      <c r="K206" s="8"/>
      <c r="L206" s="8"/>
      <c r="M206" s="8"/>
    </row>
    <row r="207" spans="11:13" ht="15.5" x14ac:dyDescent="0.35">
      <c r="K207" s="8"/>
      <c r="L207" s="8"/>
      <c r="M207" s="8"/>
    </row>
    <row r="208" spans="11:13" ht="15.5" x14ac:dyDescent="0.35">
      <c r="K208" s="8"/>
      <c r="L208" s="8"/>
      <c r="M208" s="8"/>
    </row>
    <row r="209" spans="11:13" ht="15.5" x14ac:dyDescent="0.35">
      <c r="K209" s="8"/>
      <c r="L209" s="8"/>
      <c r="M209" s="8"/>
    </row>
    <row r="210" spans="11:13" ht="15.5" x14ac:dyDescent="0.35">
      <c r="K210" s="8"/>
      <c r="L210" s="8"/>
      <c r="M210" s="8"/>
    </row>
    <row r="211" spans="11:13" ht="15.5" x14ac:dyDescent="0.35">
      <c r="K211" s="8"/>
      <c r="L211" s="8"/>
      <c r="M211" s="8"/>
    </row>
    <row r="212" spans="11:13" ht="15.5" x14ac:dyDescent="0.35">
      <c r="K212" s="8"/>
      <c r="L212" s="8"/>
      <c r="M212" s="8"/>
    </row>
    <row r="213" spans="11:13" ht="15.5" x14ac:dyDescent="0.35">
      <c r="K213" s="8"/>
      <c r="L213" s="8"/>
      <c r="M213" s="8"/>
    </row>
    <row r="214" spans="11:13" ht="15.5" x14ac:dyDescent="0.35">
      <c r="K214" s="8"/>
      <c r="L214" s="8"/>
      <c r="M214" s="8"/>
    </row>
    <row r="215" spans="11:13" ht="15.5" x14ac:dyDescent="0.35">
      <c r="K215" s="8"/>
      <c r="L215" s="8"/>
      <c r="M215" s="8"/>
    </row>
    <row r="216" spans="11:13" ht="15.5" x14ac:dyDescent="0.35">
      <c r="K216" s="8"/>
      <c r="L216" s="8"/>
      <c r="M216" s="8"/>
    </row>
    <row r="217" spans="11:13" ht="15.5" x14ac:dyDescent="0.35">
      <c r="K217" s="8"/>
      <c r="L217" s="8"/>
      <c r="M217" s="8"/>
    </row>
    <row r="218" spans="11:13" ht="15.5" x14ac:dyDescent="0.35">
      <c r="K218" s="8"/>
      <c r="L218" s="8"/>
      <c r="M218" s="8"/>
    </row>
    <row r="219" spans="11:13" ht="15.5" x14ac:dyDescent="0.35">
      <c r="K219" s="8"/>
      <c r="L219" s="8"/>
      <c r="M219" s="8"/>
    </row>
    <row r="220" spans="11:13" ht="15.5" x14ac:dyDescent="0.35">
      <c r="K220" s="8"/>
      <c r="L220" s="8"/>
      <c r="M220" s="8"/>
    </row>
    <row r="221" spans="11:13" ht="15.5" x14ac:dyDescent="0.35">
      <c r="K221" s="8"/>
      <c r="L221" s="8"/>
      <c r="M221" s="8"/>
    </row>
    <row r="222" spans="11:13" ht="15.5" x14ac:dyDescent="0.35">
      <c r="K222" s="8"/>
      <c r="L222" s="8"/>
      <c r="M222" s="8"/>
    </row>
    <row r="223" spans="11:13" ht="15.5" x14ac:dyDescent="0.35">
      <c r="K223" s="8"/>
      <c r="L223" s="8"/>
      <c r="M223" s="8"/>
    </row>
    <row r="224" spans="11:13" ht="15.5" x14ac:dyDescent="0.35">
      <c r="K224" s="8"/>
      <c r="L224" s="8"/>
      <c r="M224" s="8"/>
    </row>
    <row r="225" spans="11:13" ht="15.5" x14ac:dyDescent="0.35">
      <c r="K225" s="8"/>
      <c r="L225" s="8"/>
      <c r="M225" s="8"/>
    </row>
    <row r="226" spans="11:13" ht="15.5" x14ac:dyDescent="0.35">
      <c r="K226" s="8"/>
      <c r="L226" s="8"/>
      <c r="M226" s="8"/>
    </row>
    <row r="227" spans="11:13" ht="15.5" x14ac:dyDescent="0.35">
      <c r="K227" s="8"/>
      <c r="L227" s="8"/>
      <c r="M227" s="8"/>
    </row>
    <row r="228" spans="11:13" ht="15.5" x14ac:dyDescent="0.35">
      <c r="K228" s="8"/>
      <c r="L228" s="8"/>
      <c r="M228" s="8"/>
    </row>
    <row r="229" spans="11:13" ht="15.5" x14ac:dyDescent="0.35">
      <c r="K229" s="8"/>
      <c r="L229" s="8"/>
      <c r="M229" s="8"/>
    </row>
    <row r="230" spans="11:13" ht="15.5" x14ac:dyDescent="0.35">
      <c r="K230" s="8"/>
      <c r="L230" s="8"/>
      <c r="M230" s="8"/>
    </row>
    <row r="231" spans="11:13" ht="15.5" x14ac:dyDescent="0.35">
      <c r="K231" s="8"/>
      <c r="L231" s="8"/>
      <c r="M231" s="8"/>
    </row>
    <row r="232" spans="11:13" ht="15.5" x14ac:dyDescent="0.35">
      <c r="K232" s="8"/>
      <c r="L232" s="8"/>
      <c r="M232" s="8"/>
    </row>
    <row r="233" spans="11:13" ht="15.5" x14ac:dyDescent="0.35">
      <c r="K233" s="8"/>
      <c r="L233" s="8"/>
      <c r="M233" s="8"/>
    </row>
    <row r="234" spans="11:13" ht="15.5" x14ac:dyDescent="0.35">
      <c r="K234" s="8"/>
      <c r="L234" s="8"/>
      <c r="M234" s="8"/>
    </row>
    <row r="235" spans="11:13" ht="15.5" x14ac:dyDescent="0.35">
      <c r="K235" s="8"/>
      <c r="L235" s="8"/>
      <c r="M235" s="8"/>
    </row>
    <row r="236" spans="11:13" ht="15.5" x14ac:dyDescent="0.35">
      <c r="K236" s="8"/>
      <c r="L236" s="8"/>
      <c r="M236" s="8"/>
    </row>
    <row r="237" spans="11:13" ht="15.5" x14ac:dyDescent="0.35">
      <c r="K237" s="8"/>
      <c r="L237" s="8"/>
      <c r="M237" s="8"/>
    </row>
    <row r="238" spans="11:13" ht="15.5" x14ac:dyDescent="0.35">
      <c r="K238" s="8"/>
      <c r="L238" s="8"/>
      <c r="M238" s="8"/>
    </row>
    <row r="239" spans="11:13" ht="15.5" x14ac:dyDescent="0.35">
      <c r="K239" s="8"/>
      <c r="L239" s="8"/>
      <c r="M239" s="8"/>
    </row>
    <row r="240" spans="11:13" ht="15.5" x14ac:dyDescent="0.35">
      <c r="K240" s="8"/>
      <c r="L240" s="8"/>
      <c r="M240" s="8"/>
    </row>
    <row r="241" spans="11:13" ht="15.5" x14ac:dyDescent="0.35">
      <c r="K241" s="8"/>
      <c r="L241" s="8"/>
      <c r="M241" s="8"/>
    </row>
    <row r="242" spans="11:13" ht="15.5" x14ac:dyDescent="0.35">
      <c r="K242" s="8"/>
      <c r="L242" s="8"/>
      <c r="M242" s="8"/>
    </row>
    <row r="243" spans="11:13" ht="15.5" x14ac:dyDescent="0.35">
      <c r="K243" s="8"/>
      <c r="L243" s="8"/>
      <c r="M243" s="8"/>
    </row>
    <row r="244" spans="11:13" ht="15.5" x14ac:dyDescent="0.35">
      <c r="K244" s="8"/>
      <c r="L244" s="8"/>
      <c r="M244" s="8"/>
    </row>
    <row r="245" spans="11:13" ht="15.5" x14ac:dyDescent="0.35">
      <c r="K245" s="8"/>
      <c r="L245" s="8"/>
      <c r="M245" s="8"/>
    </row>
    <row r="246" spans="11:13" ht="15.5" x14ac:dyDescent="0.35">
      <c r="K246" s="8"/>
      <c r="L246" s="8"/>
      <c r="M246" s="8"/>
    </row>
    <row r="247" spans="11:13" ht="15.5" x14ac:dyDescent="0.35">
      <c r="K247" s="8"/>
      <c r="L247" s="8"/>
      <c r="M247" s="8"/>
    </row>
    <row r="248" spans="11:13" ht="15.5" x14ac:dyDescent="0.35">
      <c r="K248" s="8"/>
      <c r="L248" s="8"/>
      <c r="M248" s="8"/>
    </row>
    <row r="249" spans="11:13" ht="15.5" x14ac:dyDescent="0.35">
      <c r="K249" s="8"/>
      <c r="L249" s="8"/>
      <c r="M249" s="8"/>
    </row>
    <row r="250" spans="11:13" ht="15.5" x14ac:dyDescent="0.35">
      <c r="K250" s="8"/>
      <c r="L250" s="8"/>
      <c r="M250" s="8"/>
    </row>
    <row r="251" spans="11:13" ht="15.5" x14ac:dyDescent="0.35">
      <c r="K251" s="8"/>
      <c r="L251" s="8"/>
      <c r="M251" s="8"/>
    </row>
    <row r="252" spans="11:13" ht="15.5" x14ac:dyDescent="0.35">
      <c r="K252" s="8"/>
      <c r="L252" s="8"/>
      <c r="M252" s="8"/>
    </row>
    <row r="253" spans="11:13" ht="15.5" x14ac:dyDescent="0.35">
      <c r="K253" s="8"/>
      <c r="L253" s="8"/>
      <c r="M253" s="8"/>
    </row>
    <row r="254" spans="11:13" ht="15.5" x14ac:dyDescent="0.35">
      <c r="K254" s="8"/>
      <c r="L254" s="8"/>
      <c r="M254" s="8"/>
    </row>
    <row r="255" spans="11:13" ht="15.5" x14ac:dyDescent="0.35">
      <c r="K255" s="8"/>
      <c r="L255" s="8"/>
      <c r="M255" s="8"/>
    </row>
    <row r="256" spans="11:13" ht="15.5" x14ac:dyDescent="0.35">
      <c r="K256" s="8"/>
      <c r="L256" s="8"/>
      <c r="M256" s="8"/>
    </row>
    <row r="257" spans="11:13" ht="15.5" x14ac:dyDescent="0.35">
      <c r="K257" s="8"/>
      <c r="L257" s="8"/>
      <c r="M257" s="8"/>
    </row>
    <row r="258" spans="11:13" ht="15.5" x14ac:dyDescent="0.35">
      <c r="K258" s="8"/>
      <c r="L258" s="8"/>
      <c r="M258" s="8"/>
    </row>
    <row r="259" spans="11:13" ht="15.5" x14ac:dyDescent="0.35">
      <c r="K259" s="8"/>
      <c r="L259" s="8"/>
      <c r="M259" s="8"/>
    </row>
    <row r="260" spans="11:13" ht="15.5" x14ac:dyDescent="0.35">
      <c r="K260" s="8"/>
      <c r="L260" s="8"/>
      <c r="M260" s="8"/>
    </row>
    <row r="261" spans="11:13" ht="15.5" x14ac:dyDescent="0.35">
      <c r="K261" s="8"/>
      <c r="L261" s="8"/>
      <c r="M261" s="8"/>
    </row>
    <row r="262" spans="11:13" ht="15.5" x14ac:dyDescent="0.35">
      <c r="K262" s="8"/>
      <c r="L262" s="8"/>
      <c r="M262" s="8"/>
    </row>
    <row r="263" spans="11:13" ht="15.5" x14ac:dyDescent="0.35">
      <c r="K263" s="8"/>
      <c r="L263" s="8"/>
      <c r="M263" s="8"/>
    </row>
    <row r="264" spans="11:13" ht="15.5" x14ac:dyDescent="0.35">
      <c r="K264" s="8"/>
      <c r="L264" s="8"/>
      <c r="M264" s="8"/>
    </row>
    <row r="265" spans="11:13" ht="15.5" x14ac:dyDescent="0.35">
      <c r="K265" s="8"/>
      <c r="L265" s="8"/>
      <c r="M265" s="8"/>
    </row>
    <row r="266" spans="11:13" ht="15.5" x14ac:dyDescent="0.35">
      <c r="K266" s="8"/>
      <c r="L266" s="8"/>
      <c r="M266" s="8"/>
    </row>
    <row r="267" spans="11:13" ht="15.5" x14ac:dyDescent="0.35">
      <c r="K267" s="8"/>
      <c r="L267" s="8"/>
      <c r="M267" s="8"/>
    </row>
    <row r="268" spans="11:13" ht="15.5" x14ac:dyDescent="0.35">
      <c r="K268" s="8"/>
      <c r="L268" s="8"/>
      <c r="M268" s="8"/>
    </row>
    <row r="269" spans="11:13" ht="15.5" x14ac:dyDescent="0.35">
      <c r="K269" s="8"/>
      <c r="L269" s="8"/>
      <c r="M269" s="8"/>
    </row>
    <row r="270" spans="11:13" ht="15.5" x14ac:dyDescent="0.35">
      <c r="K270" s="8"/>
      <c r="L270" s="8"/>
      <c r="M270" s="8"/>
    </row>
    <row r="271" spans="11:13" ht="15.5" x14ac:dyDescent="0.35">
      <c r="K271" s="8"/>
      <c r="L271" s="8"/>
      <c r="M271" s="8"/>
    </row>
    <row r="272" spans="11:13" ht="15.5" x14ac:dyDescent="0.35">
      <c r="K272" s="8"/>
      <c r="L272" s="8"/>
      <c r="M272" s="8"/>
    </row>
    <row r="273" spans="11:13" ht="15.5" x14ac:dyDescent="0.35">
      <c r="K273" s="8"/>
      <c r="L273" s="8"/>
      <c r="M273" s="8"/>
    </row>
    <row r="274" spans="11:13" ht="15.5" x14ac:dyDescent="0.35">
      <c r="K274" s="8"/>
      <c r="L274" s="8"/>
      <c r="M274" s="8"/>
    </row>
    <row r="275" spans="11:13" ht="15.5" x14ac:dyDescent="0.35">
      <c r="K275" s="8"/>
      <c r="L275" s="8"/>
      <c r="M275" s="8"/>
    </row>
    <row r="276" spans="11:13" ht="15.5" x14ac:dyDescent="0.35">
      <c r="K276" s="8"/>
      <c r="L276" s="8"/>
      <c r="M276" s="8"/>
    </row>
    <row r="277" spans="11:13" ht="15.5" x14ac:dyDescent="0.35">
      <c r="K277" s="8"/>
      <c r="L277" s="8"/>
      <c r="M277" s="8"/>
    </row>
    <row r="278" spans="11:13" ht="15.5" x14ac:dyDescent="0.35">
      <c r="K278" s="8"/>
      <c r="L278" s="8"/>
      <c r="M278" s="8"/>
    </row>
    <row r="279" spans="11:13" ht="15.5" x14ac:dyDescent="0.35">
      <c r="K279" s="8"/>
      <c r="L279" s="8"/>
      <c r="M279" s="8"/>
    </row>
    <row r="280" spans="11:13" ht="15.5" x14ac:dyDescent="0.35">
      <c r="K280" s="8"/>
      <c r="L280" s="8"/>
      <c r="M280" s="8"/>
    </row>
    <row r="281" spans="11:13" ht="15.5" x14ac:dyDescent="0.35">
      <c r="K281" s="8"/>
      <c r="L281" s="8"/>
      <c r="M281" s="8"/>
    </row>
    <row r="282" spans="11:13" ht="15.5" x14ac:dyDescent="0.35">
      <c r="K282" s="8"/>
      <c r="L282" s="8"/>
      <c r="M282" s="8"/>
    </row>
    <row r="283" spans="11:13" ht="15.5" x14ac:dyDescent="0.35">
      <c r="K283" s="8"/>
      <c r="L283" s="8"/>
      <c r="M283" s="8"/>
    </row>
    <row r="284" spans="11:13" ht="15.5" x14ac:dyDescent="0.35">
      <c r="K284" s="8"/>
      <c r="L284" s="8"/>
      <c r="M284" s="8"/>
    </row>
    <row r="285" spans="11:13" ht="15.5" x14ac:dyDescent="0.35">
      <c r="K285" s="8"/>
      <c r="L285" s="8"/>
      <c r="M285" s="8"/>
    </row>
    <row r="286" spans="11:13" ht="15.5" x14ac:dyDescent="0.35">
      <c r="K286" s="8"/>
      <c r="L286" s="8"/>
      <c r="M286" s="8"/>
    </row>
    <row r="287" spans="11:13" ht="15.5" x14ac:dyDescent="0.35">
      <c r="K287" s="8"/>
      <c r="L287" s="8"/>
      <c r="M287" s="8"/>
    </row>
    <row r="288" spans="11:13" ht="15.5" x14ac:dyDescent="0.35">
      <c r="K288" s="8"/>
      <c r="L288" s="8"/>
      <c r="M288" s="8"/>
    </row>
    <row r="289" spans="11:13" ht="15.5" x14ac:dyDescent="0.35">
      <c r="K289" s="8"/>
      <c r="L289" s="8"/>
      <c r="M289" s="8"/>
    </row>
    <row r="290" spans="11:13" ht="15.5" x14ac:dyDescent="0.35">
      <c r="K290" s="8"/>
      <c r="L290" s="8"/>
      <c r="M290" s="8"/>
    </row>
    <row r="291" spans="11:13" ht="15.5" x14ac:dyDescent="0.35">
      <c r="K291" s="8"/>
      <c r="L291" s="8"/>
      <c r="M291" s="8"/>
    </row>
    <row r="292" spans="11:13" ht="15.5" x14ac:dyDescent="0.35">
      <c r="K292" s="8"/>
      <c r="L292" s="8"/>
      <c r="M292" s="8"/>
    </row>
    <row r="293" spans="11:13" ht="15.5" x14ac:dyDescent="0.35">
      <c r="K293" s="8"/>
      <c r="L293" s="8"/>
      <c r="M293" s="8"/>
    </row>
    <row r="294" spans="11:13" ht="15.5" x14ac:dyDescent="0.35">
      <c r="K294" s="8"/>
      <c r="L294" s="8"/>
      <c r="M294" s="8"/>
    </row>
    <row r="295" spans="11:13" ht="15.5" x14ac:dyDescent="0.35">
      <c r="K295" s="8"/>
      <c r="L295" s="8"/>
      <c r="M295" s="8"/>
    </row>
    <row r="296" spans="11:13" ht="15.5" x14ac:dyDescent="0.35">
      <c r="K296" s="8"/>
      <c r="L296" s="8"/>
      <c r="M296" s="8"/>
    </row>
    <row r="297" spans="11:13" ht="15.5" x14ac:dyDescent="0.35">
      <c r="K297" s="8"/>
      <c r="L297" s="8"/>
      <c r="M297" s="8"/>
    </row>
    <row r="298" spans="11:13" ht="15.5" x14ac:dyDescent="0.35">
      <c r="K298" s="8"/>
      <c r="L298" s="8"/>
      <c r="M298" s="8"/>
    </row>
    <row r="299" spans="11:13" ht="15.5" x14ac:dyDescent="0.35">
      <c r="K299" s="8"/>
      <c r="L299" s="8"/>
      <c r="M299" s="8"/>
    </row>
    <row r="300" spans="11:13" ht="15.5" x14ac:dyDescent="0.35">
      <c r="K300" s="8"/>
      <c r="L300" s="8"/>
      <c r="M300" s="8"/>
    </row>
    <row r="301" spans="11:13" ht="15.5" x14ac:dyDescent="0.35">
      <c r="K301" s="8"/>
      <c r="L301" s="8"/>
      <c r="M301" s="8"/>
    </row>
    <row r="302" spans="11:13" ht="15.5" x14ac:dyDescent="0.35">
      <c r="K302" s="8"/>
      <c r="L302" s="8"/>
      <c r="M302" s="8"/>
    </row>
    <row r="303" spans="11:13" ht="15.5" x14ac:dyDescent="0.35">
      <c r="K303" s="8"/>
      <c r="L303" s="8"/>
      <c r="M303" s="8"/>
    </row>
    <row r="304" spans="11:13" ht="15.5" x14ac:dyDescent="0.35">
      <c r="K304" s="8"/>
      <c r="L304" s="8"/>
      <c r="M304" s="8"/>
    </row>
    <row r="305" spans="11:13" ht="15.5" x14ac:dyDescent="0.35">
      <c r="K305" s="8"/>
      <c r="L305" s="8"/>
      <c r="M305" s="8"/>
    </row>
    <row r="306" spans="11:13" ht="15.5" x14ac:dyDescent="0.35">
      <c r="K306" s="8"/>
      <c r="L306" s="8"/>
      <c r="M306" s="8"/>
    </row>
    <row r="307" spans="11:13" ht="15.5" x14ac:dyDescent="0.35">
      <c r="K307" s="8"/>
      <c r="L307" s="8"/>
      <c r="M307" s="8"/>
    </row>
    <row r="308" spans="11:13" ht="15.5" x14ac:dyDescent="0.35">
      <c r="K308" s="8"/>
      <c r="L308" s="8"/>
      <c r="M308" s="8"/>
    </row>
    <row r="309" spans="11:13" ht="15.5" x14ac:dyDescent="0.35">
      <c r="K309" s="8"/>
      <c r="L309" s="8"/>
      <c r="M309" s="8"/>
    </row>
    <row r="310" spans="11:13" ht="15.5" x14ac:dyDescent="0.35">
      <c r="K310" s="8"/>
      <c r="L310" s="8"/>
      <c r="M310" s="8"/>
    </row>
    <row r="311" spans="11:13" ht="15.5" x14ac:dyDescent="0.35">
      <c r="K311" s="8"/>
      <c r="L311" s="8"/>
      <c r="M311" s="8"/>
    </row>
    <row r="312" spans="11:13" ht="15.5" x14ac:dyDescent="0.35">
      <c r="K312" s="8"/>
      <c r="L312" s="8"/>
      <c r="M312" s="8"/>
    </row>
    <row r="313" spans="11:13" ht="15.5" x14ac:dyDescent="0.35">
      <c r="K313" s="8"/>
      <c r="L313" s="8"/>
      <c r="M313" s="8"/>
    </row>
    <row r="314" spans="11:13" ht="15.5" x14ac:dyDescent="0.35">
      <c r="K314" s="8"/>
      <c r="L314" s="8"/>
      <c r="M314" s="8"/>
    </row>
    <row r="315" spans="11:13" ht="15.5" x14ac:dyDescent="0.35">
      <c r="K315" s="8"/>
      <c r="L315" s="8"/>
      <c r="M315" s="8"/>
    </row>
    <row r="316" spans="11:13" ht="15.5" x14ac:dyDescent="0.35">
      <c r="K316" s="8"/>
      <c r="L316" s="8"/>
      <c r="M316" s="8"/>
    </row>
    <row r="317" spans="11:13" ht="15.5" x14ac:dyDescent="0.35">
      <c r="K317" s="8"/>
      <c r="L317" s="8"/>
      <c r="M317" s="8"/>
    </row>
    <row r="318" spans="11:13" ht="15.5" x14ac:dyDescent="0.35">
      <c r="K318" s="8"/>
      <c r="L318" s="8"/>
      <c r="M318" s="8"/>
    </row>
    <row r="319" spans="11:13" ht="15.5" x14ac:dyDescent="0.35">
      <c r="K319" s="8"/>
      <c r="L319" s="8"/>
      <c r="M319" s="8"/>
    </row>
    <row r="320" spans="11:13" ht="15.5" x14ac:dyDescent="0.35">
      <c r="K320" s="8"/>
      <c r="L320" s="8"/>
      <c r="M320" s="8"/>
    </row>
    <row r="321" spans="11:13" ht="15.5" x14ac:dyDescent="0.35">
      <c r="K321" s="8"/>
      <c r="L321" s="8"/>
      <c r="M321" s="8"/>
    </row>
    <row r="322" spans="11:13" ht="15.5" x14ac:dyDescent="0.35">
      <c r="K322" s="8"/>
      <c r="L322" s="8"/>
      <c r="M322" s="8"/>
    </row>
    <row r="323" spans="11:13" ht="15.5" x14ac:dyDescent="0.35">
      <c r="K323" s="8"/>
      <c r="L323" s="8"/>
      <c r="M323" s="8"/>
    </row>
    <row r="324" spans="11:13" ht="15.5" x14ac:dyDescent="0.35">
      <c r="K324" s="8"/>
      <c r="L324" s="8"/>
      <c r="M324" s="8"/>
    </row>
    <row r="325" spans="11:13" ht="15.5" x14ac:dyDescent="0.35">
      <c r="K325" s="8"/>
      <c r="L325" s="8"/>
      <c r="M325" s="8"/>
    </row>
    <row r="326" spans="11:13" ht="15.5" x14ac:dyDescent="0.35">
      <c r="K326" s="8"/>
      <c r="L326" s="8"/>
      <c r="M326" s="8"/>
    </row>
    <row r="327" spans="11:13" ht="15.5" x14ac:dyDescent="0.35">
      <c r="K327" s="8"/>
      <c r="L327" s="8"/>
      <c r="M327" s="8"/>
    </row>
    <row r="328" spans="11:13" ht="15.5" x14ac:dyDescent="0.35">
      <c r="K328" s="8"/>
      <c r="L328" s="8"/>
      <c r="M328" s="8"/>
    </row>
    <row r="329" spans="11:13" ht="15.5" x14ac:dyDescent="0.35">
      <c r="K329" s="8"/>
      <c r="L329" s="8"/>
      <c r="M329" s="8"/>
    </row>
    <row r="330" spans="11:13" ht="15.5" x14ac:dyDescent="0.35">
      <c r="K330" s="8"/>
      <c r="L330" s="8"/>
      <c r="M330" s="8"/>
    </row>
    <row r="331" spans="11:13" ht="15.5" x14ac:dyDescent="0.35">
      <c r="K331" s="8"/>
      <c r="L331" s="8"/>
      <c r="M331" s="8"/>
    </row>
    <row r="332" spans="11:13" ht="15.5" x14ac:dyDescent="0.35">
      <c r="K332" s="8"/>
      <c r="L332" s="8"/>
      <c r="M332" s="8"/>
    </row>
    <row r="333" spans="11:13" ht="15.5" x14ac:dyDescent="0.35">
      <c r="K333" s="8"/>
      <c r="L333" s="8"/>
      <c r="M333" s="8"/>
    </row>
    <row r="334" spans="11:13" ht="15.5" x14ac:dyDescent="0.35">
      <c r="K334" s="8"/>
      <c r="L334" s="8"/>
      <c r="M334" s="8"/>
    </row>
    <row r="335" spans="11:13" ht="15.5" x14ac:dyDescent="0.35">
      <c r="K335" s="8"/>
      <c r="L335" s="8"/>
      <c r="M335" s="8"/>
    </row>
    <row r="336" spans="11:13" ht="15.5" x14ac:dyDescent="0.35">
      <c r="K336" s="8"/>
      <c r="L336" s="8"/>
      <c r="M336" s="8"/>
    </row>
    <row r="337" spans="11:13" ht="15.5" x14ac:dyDescent="0.35">
      <c r="K337" s="8"/>
      <c r="L337" s="8"/>
      <c r="M337" s="8"/>
    </row>
    <row r="338" spans="11:13" ht="15.5" x14ac:dyDescent="0.35">
      <c r="K338" s="8"/>
      <c r="L338" s="8"/>
      <c r="M338" s="8"/>
    </row>
    <row r="339" spans="11:13" ht="15.5" x14ac:dyDescent="0.35">
      <c r="K339" s="8"/>
      <c r="L339" s="8"/>
      <c r="M339" s="8"/>
    </row>
    <row r="340" spans="11:13" ht="15.5" x14ac:dyDescent="0.35">
      <c r="K340" s="8"/>
      <c r="L340" s="8"/>
      <c r="M340" s="8"/>
    </row>
    <row r="341" spans="11:13" ht="15.5" x14ac:dyDescent="0.35">
      <c r="K341" s="8"/>
      <c r="L341" s="8"/>
      <c r="M341" s="8"/>
    </row>
    <row r="342" spans="11:13" ht="15.5" x14ac:dyDescent="0.35">
      <c r="K342" s="8"/>
      <c r="L342" s="8"/>
      <c r="M342" s="8"/>
    </row>
    <row r="343" spans="11:13" ht="15.5" x14ac:dyDescent="0.35">
      <c r="K343" s="8"/>
      <c r="L343" s="8"/>
      <c r="M343" s="8"/>
    </row>
    <row r="344" spans="11:13" ht="15.5" x14ac:dyDescent="0.35">
      <c r="K344" s="8"/>
      <c r="L344" s="8"/>
      <c r="M344" s="8"/>
    </row>
    <row r="345" spans="11:13" ht="15.5" x14ac:dyDescent="0.35">
      <c r="K345" s="8"/>
      <c r="L345" s="8"/>
      <c r="M345" s="8"/>
    </row>
    <row r="346" spans="11:13" ht="15.5" x14ac:dyDescent="0.35">
      <c r="K346" s="8"/>
      <c r="L346" s="8"/>
      <c r="M346" s="8"/>
    </row>
    <row r="347" spans="11:13" ht="15.5" x14ac:dyDescent="0.35">
      <c r="K347" s="8"/>
      <c r="L347" s="8"/>
      <c r="M347" s="8"/>
    </row>
    <row r="348" spans="11:13" ht="15.5" x14ac:dyDescent="0.35">
      <c r="K348" s="8"/>
      <c r="L348" s="8"/>
      <c r="M348" s="8"/>
    </row>
    <row r="349" spans="11:13" ht="15.5" x14ac:dyDescent="0.35">
      <c r="K349" s="8"/>
      <c r="L349" s="8"/>
      <c r="M349" s="8"/>
    </row>
    <row r="350" spans="11:13" ht="15.5" x14ac:dyDescent="0.35">
      <c r="K350" s="8"/>
      <c r="L350" s="8"/>
      <c r="M350" s="8"/>
    </row>
    <row r="351" spans="11:13" ht="15.5" x14ac:dyDescent="0.35">
      <c r="K351" s="8"/>
      <c r="L351" s="8"/>
      <c r="M351" s="8"/>
    </row>
    <row r="352" spans="11:13" ht="15.5" x14ac:dyDescent="0.35">
      <c r="K352" s="8"/>
      <c r="L352" s="8"/>
      <c r="M352" s="8"/>
    </row>
    <row r="353" spans="11:13" ht="15.5" x14ac:dyDescent="0.35">
      <c r="K353" s="8"/>
      <c r="L353" s="8"/>
      <c r="M353" s="8"/>
    </row>
    <row r="354" spans="11:13" ht="15.5" x14ac:dyDescent="0.35">
      <c r="K354" s="8"/>
      <c r="L354" s="8"/>
      <c r="M354" s="8"/>
    </row>
    <row r="355" spans="11:13" ht="15.5" x14ac:dyDescent="0.35">
      <c r="K355" s="8"/>
      <c r="L355" s="8"/>
      <c r="M355" s="8"/>
    </row>
    <row r="356" spans="11:13" ht="15.5" x14ac:dyDescent="0.35">
      <c r="K356" s="8"/>
      <c r="L356" s="8"/>
      <c r="M356" s="8"/>
    </row>
    <row r="357" spans="11:13" ht="15.5" x14ac:dyDescent="0.35">
      <c r="K357" s="8"/>
      <c r="L357" s="8"/>
      <c r="M357" s="8"/>
    </row>
    <row r="358" spans="11:13" ht="15.5" x14ac:dyDescent="0.35">
      <c r="K358" s="8"/>
      <c r="L358" s="8"/>
      <c r="M358" s="8"/>
    </row>
    <row r="359" spans="11:13" ht="15.5" x14ac:dyDescent="0.35">
      <c r="K359" s="8"/>
      <c r="L359" s="8"/>
      <c r="M359" s="8"/>
    </row>
    <row r="360" spans="11:13" ht="15.5" x14ac:dyDescent="0.35">
      <c r="K360" s="8"/>
      <c r="L360" s="8"/>
      <c r="M360" s="8"/>
    </row>
    <row r="361" spans="11:13" ht="15.5" x14ac:dyDescent="0.35">
      <c r="K361" s="8"/>
      <c r="L361" s="8"/>
      <c r="M361" s="8"/>
    </row>
    <row r="362" spans="11:13" ht="15.5" x14ac:dyDescent="0.35">
      <c r="K362" s="8"/>
      <c r="L362" s="8"/>
      <c r="M362" s="8"/>
    </row>
    <row r="363" spans="11:13" ht="15.5" x14ac:dyDescent="0.35">
      <c r="K363" s="8"/>
      <c r="L363" s="8"/>
      <c r="M363" s="8"/>
    </row>
    <row r="364" spans="11:13" ht="15.5" x14ac:dyDescent="0.35">
      <c r="K364" s="8"/>
      <c r="L364" s="8"/>
      <c r="M364" s="8"/>
    </row>
    <row r="365" spans="11:13" ht="15.5" x14ac:dyDescent="0.35">
      <c r="K365" s="8"/>
      <c r="L365" s="8"/>
      <c r="M365" s="8"/>
    </row>
    <row r="366" spans="11:13" ht="15.5" x14ac:dyDescent="0.35">
      <c r="K366" s="8"/>
      <c r="L366" s="8"/>
      <c r="M366" s="8"/>
    </row>
    <row r="367" spans="11:13" ht="15.5" x14ac:dyDescent="0.35">
      <c r="K367" s="8"/>
      <c r="L367" s="8"/>
      <c r="M367" s="8"/>
    </row>
    <row r="368" spans="11:13" ht="15.5" x14ac:dyDescent="0.35">
      <c r="K368" s="8"/>
      <c r="L368" s="8"/>
      <c r="M368" s="8"/>
    </row>
    <row r="369" spans="11:13" ht="15.5" x14ac:dyDescent="0.35">
      <c r="K369" s="8"/>
      <c r="L369" s="8"/>
      <c r="M369" s="8"/>
    </row>
    <row r="370" spans="11:13" ht="15.5" x14ac:dyDescent="0.35">
      <c r="K370" s="8"/>
      <c r="L370" s="8"/>
      <c r="M370" s="8"/>
    </row>
    <row r="371" spans="11:13" ht="15.5" x14ac:dyDescent="0.35">
      <c r="K371" s="8"/>
      <c r="L371" s="8"/>
      <c r="M371" s="8"/>
    </row>
    <row r="372" spans="11:13" ht="15.5" x14ac:dyDescent="0.35">
      <c r="K372" s="8"/>
      <c r="L372" s="8"/>
      <c r="M372" s="8"/>
    </row>
    <row r="373" spans="11:13" ht="15.5" x14ac:dyDescent="0.35">
      <c r="K373" s="8"/>
      <c r="L373" s="8"/>
      <c r="M373" s="8"/>
    </row>
    <row r="374" spans="11:13" ht="15.5" x14ac:dyDescent="0.35">
      <c r="K374" s="8"/>
      <c r="L374" s="8"/>
      <c r="M374" s="8"/>
    </row>
    <row r="375" spans="11:13" ht="15.5" x14ac:dyDescent="0.35">
      <c r="K375" s="8"/>
      <c r="L375" s="8"/>
      <c r="M375" s="8"/>
    </row>
    <row r="376" spans="11:13" ht="15.5" x14ac:dyDescent="0.35">
      <c r="K376" s="8"/>
      <c r="L376" s="8"/>
      <c r="M376" s="8"/>
    </row>
    <row r="377" spans="11:13" ht="15.5" x14ac:dyDescent="0.35">
      <c r="K377" s="8"/>
      <c r="L377" s="8"/>
      <c r="M377" s="8"/>
    </row>
    <row r="378" spans="11:13" ht="15.5" x14ac:dyDescent="0.35">
      <c r="K378" s="8"/>
      <c r="L378" s="8"/>
      <c r="M378" s="8"/>
    </row>
    <row r="379" spans="11:13" ht="15.5" x14ac:dyDescent="0.35">
      <c r="K379" s="8"/>
      <c r="L379" s="8"/>
      <c r="M379" s="8"/>
    </row>
    <row r="380" spans="11:13" ht="15.5" x14ac:dyDescent="0.35">
      <c r="K380" s="8"/>
      <c r="L380" s="8"/>
      <c r="M380" s="8"/>
    </row>
    <row r="381" spans="11:13" ht="15.5" x14ac:dyDescent="0.35">
      <c r="K381" s="8"/>
      <c r="L381" s="8"/>
      <c r="M381" s="8"/>
    </row>
    <row r="382" spans="11:13" ht="15.5" x14ac:dyDescent="0.35">
      <c r="K382" s="8"/>
      <c r="L382" s="8"/>
      <c r="M382" s="8"/>
    </row>
    <row r="383" spans="11:13" ht="15.5" x14ac:dyDescent="0.35">
      <c r="K383" s="8"/>
      <c r="L383" s="8"/>
      <c r="M383" s="8"/>
    </row>
    <row r="384" spans="11:13" ht="15.5" x14ac:dyDescent="0.35">
      <c r="K384" s="8"/>
      <c r="L384" s="8"/>
      <c r="M384" s="8"/>
    </row>
    <row r="385" spans="11:13" ht="15.5" x14ac:dyDescent="0.35">
      <c r="K385" s="8"/>
      <c r="L385" s="8"/>
      <c r="M385" s="8"/>
    </row>
    <row r="386" spans="11:13" ht="15.5" x14ac:dyDescent="0.35">
      <c r="K386" s="8"/>
      <c r="L386" s="8"/>
      <c r="M386" s="8"/>
    </row>
    <row r="387" spans="11:13" ht="15.5" x14ac:dyDescent="0.35">
      <c r="K387" s="8"/>
      <c r="L387" s="8"/>
      <c r="M387" s="8"/>
    </row>
    <row r="388" spans="11:13" ht="15.5" x14ac:dyDescent="0.35">
      <c r="K388" s="8"/>
      <c r="L388" s="8"/>
      <c r="M388" s="8"/>
    </row>
    <row r="389" spans="11:13" ht="15.5" x14ac:dyDescent="0.35">
      <c r="K389" s="8"/>
      <c r="L389" s="8"/>
      <c r="M389" s="8"/>
    </row>
    <row r="390" spans="11:13" ht="15.5" x14ac:dyDescent="0.35">
      <c r="K390" s="8"/>
      <c r="L390" s="8"/>
      <c r="M390" s="8"/>
    </row>
    <row r="391" spans="11:13" ht="15.5" x14ac:dyDescent="0.35">
      <c r="K391" s="8"/>
      <c r="L391" s="8"/>
      <c r="M391" s="8"/>
    </row>
    <row r="392" spans="11:13" ht="15.5" x14ac:dyDescent="0.35">
      <c r="K392" s="8"/>
      <c r="L392" s="8"/>
      <c r="M392" s="8"/>
    </row>
    <row r="393" spans="11:13" ht="15.5" x14ac:dyDescent="0.35">
      <c r="K393" s="8"/>
      <c r="L393" s="8"/>
      <c r="M393" s="8"/>
    </row>
    <row r="394" spans="11:13" ht="15.5" x14ac:dyDescent="0.35">
      <c r="K394" s="8"/>
      <c r="L394" s="8"/>
      <c r="M394" s="8"/>
    </row>
    <row r="395" spans="11:13" ht="15.5" x14ac:dyDescent="0.35">
      <c r="K395" s="8"/>
      <c r="L395" s="8"/>
      <c r="M395" s="8"/>
    </row>
    <row r="396" spans="11:13" ht="15.5" x14ac:dyDescent="0.35">
      <c r="K396" s="8"/>
      <c r="L396" s="8"/>
      <c r="M396" s="8"/>
    </row>
    <row r="397" spans="11:13" ht="15.5" x14ac:dyDescent="0.35">
      <c r="K397" s="8"/>
      <c r="L397" s="8"/>
      <c r="M397" s="8"/>
    </row>
    <row r="398" spans="11:13" ht="15.5" x14ac:dyDescent="0.35">
      <c r="K398" s="8"/>
      <c r="L398" s="8"/>
      <c r="M398" s="8"/>
    </row>
    <row r="399" spans="11:13" ht="15.5" x14ac:dyDescent="0.35">
      <c r="K399" s="8"/>
      <c r="L399" s="8"/>
      <c r="M399" s="8"/>
    </row>
    <row r="400" spans="11:13" ht="15.5" x14ac:dyDescent="0.35">
      <c r="K400" s="8"/>
      <c r="L400" s="8"/>
      <c r="M400" s="8"/>
    </row>
    <row r="401" spans="11:13" ht="15.5" x14ac:dyDescent="0.35">
      <c r="K401" s="8"/>
      <c r="L401" s="8"/>
      <c r="M401" s="8"/>
    </row>
    <row r="402" spans="11:13" ht="15.5" x14ac:dyDescent="0.35">
      <c r="K402" s="8"/>
      <c r="L402" s="8"/>
      <c r="M402" s="8"/>
    </row>
    <row r="403" spans="11:13" ht="15.5" x14ac:dyDescent="0.35">
      <c r="K403" s="8"/>
      <c r="L403" s="8"/>
      <c r="M403" s="8"/>
    </row>
    <row r="404" spans="11:13" ht="15.5" x14ac:dyDescent="0.35">
      <c r="K404" s="8"/>
      <c r="L404" s="8"/>
      <c r="M404" s="8"/>
    </row>
    <row r="405" spans="11:13" ht="15.5" x14ac:dyDescent="0.35">
      <c r="K405" s="8"/>
      <c r="L405" s="8"/>
      <c r="M405" s="8"/>
    </row>
    <row r="406" spans="11:13" ht="15.5" x14ac:dyDescent="0.35">
      <c r="K406" s="8"/>
      <c r="L406" s="8"/>
      <c r="M406" s="8"/>
    </row>
    <row r="407" spans="11:13" ht="15.5" x14ac:dyDescent="0.35">
      <c r="K407" s="8"/>
      <c r="L407" s="8"/>
      <c r="M407" s="8"/>
    </row>
    <row r="408" spans="11:13" ht="15.5" x14ac:dyDescent="0.35">
      <c r="K408" s="8"/>
      <c r="L408" s="8"/>
      <c r="M408" s="8"/>
    </row>
    <row r="409" spans="11:13" ht="15.5" x14ac:dyDescent="0.35">
      <c r="K409" s="8"/>
      <c r="L409" s="8"/>
      <c r="M409" s="8"/>
    </row>
    <row r="410" spans="11:13" ht="15.5" x14ac:dyDescent="0.35">
      <c r="K410" s="8"/>
      <c r="L410" s="8"/>
      <c r="M410" s="8"/>
    </row>
    <row r="411" spans="11:13" ht="15.5" x14ac:dyDescent="0.35">
      <c r="K411" s="8"/>
      <c r="L411" s="8"/>
      <c r="M411" s="8"/>
    </row>
    <row r="412" spans="11:13" ht="15.5" x14ac:dyDescent="0.35">
      <c r="K412" s="8"/>
      <c r="L412" s="8"/>
      <c r="M412" s="8"/>
    </row>
    <row r="413" spans="11:13" ht="15.5" x14ac:dyDescent="0.35">
      <c r="K413" s="8"/>
      <c r="L413" s="8"/>
      <c r="M413" s="8"/>
    </row>
    <row r="414" spans="11:13" ht="15.5" x14ac:dyDescent="0.35">
      <c r="K414" s="8"/>
      <c r="L414" s="8"/>
      <c r="M414" s="8"/>
    </row>
    <row r="415" spans="11:13" ht="15.5" x14ac:dyDescent="0.35">
      <c r="K415" s="8"/>
      <c r="L415" s="8"/>
      <c r="M415" s="8"/>
    </row>
    <row r="416" spans="11:13" ht="15.5" x14ac:dyDescent="0.35">
      <c r="K416" s="8"/>
      <c r="L416" s="8"/>
      <c r="M416" s="8"/>
    </row>
    <row r="417" spans="11:13" ht="15.5" x14ac:dyDescent="0.35">
      <c r="K417" s="8"/>
      <c r="L417" s="8"/>
      <c r="M417" s="8"/>
    </row>
    <row r="418" spans="11:13" ht="15.5" x14ac:dyDescent="0.35">
      <c r="K418" s="8"/>
      <c r="L418" s="8"/>
      <c r="M418" s="8"/>
    </row>
    <row r="419" spans="11:13" ht="15.5" x14ac:dyDescent="0.35">
      <c r="K419" s="8"/>
      <c r="L419" s="8"/>
      <c r="M419" s="8"/>
    </row>
    <row r="420" spans="11:13" ht="15.5" x14ac:dyDescent="0.35">
      <c r="K420" s="8"/>
      <c r="L420" s="8"/>
      <c r="M420" s="8"/>
    </row>
    <row r="421" spans="11:13" ht="15.5" x14ac:dyDescent="0.35">
      <c r="K421" s="8"/>
      <c r="L421" s="8"/>
      <c r="M421" s="8"/>
    </row>
    <row r="422" spans="11:13" ht="15.5" x14ac:dyDescent="0.35">
      <c r="K422" s="8"/>
      <c r="L422" s="8"/>
      <c r="M422" s="8"/>
    </row>
    <row r="423" spans="11:13" ht="15.5" x14ac:dyDescent="0.35">
      <c r="K423" s="8"/>
      <c r="L423" s="8"/>
      <c r="M423" s="8"/>
    </row>
    <row r="424" spans="11:13" ht="15.5" x14ac:dyDescent="0.35">
      <c r="K424" s="8"/>
      <c r="L424" s="8"/>
      <c r="M424" s="8"/>
    </row>
    <row r="425" spans="11:13" ht="15.5" x14ac:dyDescent="0.35">
      <c r="K425" s="8"/>
      <c r="L425" s="8"/>
      <c r="M425" s="8"/>
    </row>
    <row r="426" spans="11:13" ht="15.5" x14ac:dyDescent="0.35">
      <c r="K426" s="8"/>
      <c r="L426" s="8"/>
      <c r="M426" s="8"/>
    </row>
    <row r="427" spans="11:13" ht="15.5" x14ac:dyDescent="0.35">
      <c r="K427" s="8"/>
      <c r="L427" s="8"/>
      <c r="M427" s="8"/>
    </row>
    <row r="428" spans="11:13" ht="15.5" x14ac:dyDescent="0.35">
      <c r="K428" s="8"/>
      <c r="L428" s="8"/>
      <c r="M428" s="8"/>
    </row>
    <row r="429" spans="11:13" ht="15.5" x14ac:dyDescent="0.35">
      <c r="K429" s="8"/>
      <c r="L429" s="8"/>
      <c r="M429" s="8"/>
    </row>
    <row r="430" spans="11:13" ht="15.5" x14ac:dyDescent="0.35">
      <c r="K430" s="8"/>
      <c r="L430" s="8"/>
      <c r="M430" s="8"/>
    </row>
    <row r="431" spans="11:13" ht="15.5" x14ac:dyDescent="0.35">
      <c r="K431" s="8"/>
      <c r="L431" s="8"/>
      <c r="M431" s="8"/>
    </row>
    <row r="432" spans="11:13" ht="15.5" x14ac:dyDescent="0.35">
      <c r="K432" s="8"/>
      <c r="L432" s="8"/>
      <c r="M432" s="8"/>
    </row>
    <row r="433" spans="11:13" ht="15.5" x14ac:dyDescent="0.35">
      <c r="K433" s="8"/>
      <c r="L433" s="8"/>
      <c r="M433" s="8"/>
    </row>
    <row r="434" spans="11:13" ht="15.5" x14ac:dyDescent="0.35">
      <c r="K434" s="8"/>
      <c r="L434" s="8"/>
      <c r="M434" s="8"/>
    </row>
    <row r="435" spans="11:13" ht="15.5" x14ac:dyDescent="0.35">
      <c r="K435" s="8"/>
      <c r="L435" s="8"/>
      <c r="M435" s="8"/>
    </row>
    <row r="436" spans="11:13" ht="15.5" x14ac:dyDescent="0.35">
      <c r="K436" s="8"/>
      <c r="L436" s="8"/>
      <c r="M436" s="8"/>
    </row>
    <row r="437" spans="11:13" ht="15.5" x14ac:dyDescent="0.35">
      <c r="K437" s="8"/>
      <c r="L437" s="8"/>
      <c r="M437" s="8"/>
    </row>
    <row r="438" spans="11:13" ht="15.5" x14ac:dyDescent="0.35">
      <c r="K438" s="8"/>
      <c r="L438" s="8"/>
      <c r="M438" s="8"/>
    </row>
    <row r="439" spans="11:13" ht="15.5" x14ac:dyDescent="0.35">
      <c r="K439" s="8"/>
      <c r="L439" s="8"/>
      <c r="M439" s="8"/>
    </row>
    <row r="440" spans="11:13" ht="15.5" x14ac:dyDescent="0.35">
      <c r="K440" s="8"/>
      <c r="L440" s="8"/>
      <c r="M440" s="8"/>
    </row>
    <row r="441" spans="11:13" ht="15.5" x14ac:dyDescent="0.35">
      <c r="K441" s="8"/>
      <c r="L441" s="8"/>
      <c r="M441" s="8"/>
    </row>
    <row r="442" spans="11:13" ht="15.5" x14ac:dyDescent="0.35">
      <c r="K442" s="8"/>
      <c r="L442" s="8"/>
      <c r="M442" s="8"/>
    </row>
    <row r="443" spans="11:13" ht="15.5" x14ac:dyDescent="0.35">
      <c r="K443" s="8"/>
      <c r="L443" s="8"/>
      <c r="M443" s="8"/>
    </row>
    <row r="444" spans="11:13" ht="15.5" x14ac:dyDescent="0.35">
      <c r="K444" s="8"/>
      <c r="L444" s="8"/>
      <c r="M444" s="8"/>
    </row>
    <row r="445" spans="11:13" ht="15.5" x14ac:dyDescent="0.35">
      <c r="K445" s="8"/>
      <c r="L445" s="8"/>
      <c r="M445" s="8"/>
    </row>
    <row r="446" spans="11:13" ht="15.5" x14ac:dyDescent="0.35">
      <c r="K446" s="8"/>
      <c r="L446" s="8"/>
      <c r="M446" s="8"/>
    </row>
    <row r="447" spans="11:13" ht="15.5" x14ac:dyDescent="0.35">
      <c r="K447" s="8"/>
      <c r="L447" s="8"/>
      <c r="M447" s="8"/>
    </row>
    <row r="448" spans="11:13" ht="15.5" x14ac:dyDescent="0.35">
      <c r="K448" s="8"/>
      <c r="L448" s="8"/>
      <c r="M448" s="8"/>
    </row>
    <row r="449" spans="11:13" ht="15.5" x14ac:dyDescent="0.35">
      <c r="K449" s="8"/>
      <c r="L449" s="8"/>
      <c r="M449" s="8"/>
    </row>
    <row r="450" spans="11:13" ht="15.5" x14ac:dyDescent="0.35">
      <c r="K450" s="8"/>
      <c r="L450" s="8"/>
      <c r="M450" s="8"/>
    </row>
    <row r="451" spans="11:13" ht="15.5" x14ac:dyDescent="0.35">
      <c r="K451" s="8"/>
      <c r="L451" s="8"/>
      <c r="M451" s="8"/>
    </row>
    <row r="452" spans="11:13" ht="15.5" x14ac:dyDescent="0.35">
      <c r="K452" s="8"/>
      <c r="L452" s="8"/>
      <c r="M452" s="8"/>
    </row>
    <row r="453" spans="11:13" ht="15.5" x14ac:dyDescent="0.35">
      <c r="K453" s="8"/>
      <c r="L453" s="8"/>
      <c r="M453" s="8"/>
    </row>
    <row r="454" spans="11:13" ht="15.5" x14ac:dyDescent="0.35">
      <c r="K454" s="8"/>
      <c r="L454" s="8"/>
      <c r="M454" s="8"/>
    </row>
    <row r="455" spans="11:13" ht="15.5" x14ac:dyDescent="0.35">
      <c r="K455" s="8"/>
      <c r="L455" s="8"/>
      <c r="M455" s="8"/>
    </row>
    <row r="456" spans="11:13" ht="15.5" x14ac:dyDescent="0.35">
      <c r="K456" s="8"/>
      <c r="L456" s="8"/>
      <c r="M456" s="8"/>
    </row>
    <row r="457" spans="11:13" ht="15.5" x14ac:dyDescent="0.35">
      <c r="K457" s="8"/>
      <c r="L457" s="8"/>
      <c r="M457" s="8"/>
    </row>
    <row r="458" spans="11:13" ht="15.5" x14ac:dyDescent="0.35">
      <c r="K458" s="8"/>
      <c r="L458" s="8"/>
      <c r="M458" s="8"/>
    </row>
    <row r="459" spans="11:13" ht="15.5" x14ac:dyDescent="0.35">
      <c r="K459" s="8"/>
      <c r="L459" s="8"/>
      <c r="M459" s="8"/>
    </row>
    <row r="460" spans="11:13" ht="15.5" x14ac:dyDescent="0.35">
      <c r="K460" s="8"/>
      <c r="L460" s="8"/>
      <c r="M460" s="8"/>
    </row>
    <row r="461" spans="11:13" ht="15.5" x14ac:dyDescent="0.35">
      <c r="K461" s="8"/>
      <c r="L461" s="8"/>
      <c r="M461" s="8"/>
    </row>
    <row r="462" spans="11:13" ht="15.5" x14ac:dyDescent="0.35">
      <c r="K462" s="8"/>
      <c r="L462" s="8"/>
      <c r="M462" s="8"/>
    </row>
    <row r="463" spans="11:13" ht="15.5" x14ac:dyDescent="0.35">
      <c r="K463" s="8"/>
      <c r="L463" s="8"/>
      <c r="M463" s="8"/>
    </row>
    <row r="464" spans="11:13" ht="15.5" x14ac:dyDescent="0.35">
      <c r="K464" s="8"/>
      <c r="L464" s="8"/>
      <c r="M464" s="8"/>
    </row>
    <row r="465" spans="11:13" ht="15.5" x14ac:dyDescent="0.35">
      <c r="K465" s="8"/>
      <c r="L465" s="8"/>
      <c r="M465" s="8"/>
    </row>
    <row r="466" spans="11:13" ht="15.5" x14ac:dyDescent="0.35">
      <c r="K466" s="8"/>
      <c r="L466" s="8"/>
      <c r="M466" s="8"/>
    </row>
    <row r="467" spans="11:13" ht="15.5" x14ac:dyDescent="0.35">
      <c r="K467" s="8"/>
      <c r="L467" s="8"/>
      <c r="M467" s="8"/>
    </row>
    <row r="468" spans="11:13" ht="15.5" x14ac:dyDescent="0.35">
      <c r="K468" s="8"/>
      <c r="L468" s="8"/>
      <c r="M468" s="8"/>
    </row>
    <row r="469" spans="11:13" ht="15.5" x14ac:dyDescent="0.35">
      <c r="K469" s="8"/>
      <c r="L469" s="8"/>
      <c r="M469" s="8"/>
    </row>
    <row r="470" spans="11:13" ht="15.5" x14ac:dyDescent="0.35">
      <c r="K470" s="8"/>
      <c r="L470" s="8"/>
      <c r="M470" s="8"/>
    </row>
    <row r="471" spans="11:13" ht="15.5" x14ac:dyDescent="0.35">
      <c r="K471" s="8"/>
      <c r="L471" s="8"/>
      <c r="M471" s="8"/>
    </row>
    <row r="472" spans="11:13" ht="15.5" x14ac:dyDescent="0.35">
      <c r="K472" s="8"/>
      <c r="L472" s="8"/>
      <c r="M472" s="8"/>
    </row>
    <row r="473" spans="11:13" ht="15.5" x14ac:dyDescent="0.35">
      <c r="K473" s="8"/>
      <c r="L473" s="8"/>
      <c r="M473" s="8"/>
    </row>
    <row r="474" spans="11:13" ht="15.5" x14ac:dyDescent="0.35">
      <c r="K474" s="8"/>
      <c r="L474" s="8"/>
      <c r="M474" s="8"/>
    </row>
    <row r="475" spans="11:13" ht="15.5" x14ac:dyDescent="0.35">
      <c r="K475" s="8"/>
      <c r="L475" s="8"/>
      <c r="M475" s="8"/>
    </row>
    <row r="476" spans="11:13" ht="15.5" x14ac:dyDescent="0.35">
      <c r="K476" s="8"/>
      <c r="L476" s="8"/>
      <c r="M476" s="8"/>
    </row>
    <row r="477" spans="11:13" ht="15.5" x14ac:dyDescent="0.35">
      <c r="K477" s="8"/>
      <c r="L477" s="8"/>
      <c r="M477" s="8"/>
    </row>
    <row r="478" spans="11:13" ht="15.5" x14ac:dyDescent="0.35">
      <c r="K478" s="8"/>
      <c r="L478" s="8"/>
      <c r="M478" s="8"/>
    </row>
    <row r="479" spans="11:13" ht="15.5" x14ac:dyDescent="0.35">
      <c r="K479" s="8"/>
      <c r="L479" s="8"/>
      <c r="M479" s="8"/>
    </row>
    <row r="480" spans="11:13" ht="15.5" x14ac:dyDescent="0.35">
      <c r="K480" s="8"/>
      <c r="L480" s="8"/>
      <c r="M480" s="8"/>
    </row>
    <row r="481" spans="11:13" ht="15.5" x14ac:dyDescent="0.35">
      <c r="K481" s="8"/>
      <c r="L481" s="8"/>
      <c r="M481" s="8"/>
    </row>
    <row r="482" spans="11:13" ht="15.5" x14ac:dyDescent="0.35">
      <c r="K482" s="8"/>
      <c r="L482" s="8"/>
      <c r="M482" s="8"/>
    </row>
    <row r="483" spans="11:13" ht="15.5" x14ac:dyDescent="0.35">
      <c r="K483" s="8"/>
      <c r="L483" s="8"/>
      <c r="M483" s="8"/>
    </row>
    <row r="484" spans="11:13" ht="15.5" x14ac:dyDescent="0.35">
      <c r="K484" s="8"/>
      <c r="L484" s="8"/>
      <c r="M484" s="8"/>
    </row>
    <row r="485" spans="11:13" ht="15.5" x14ac:dyDescent="0.35">
      <c r="K485" s="8"/>
      <c r="L485" s="8"/>
      <c r="M485" s="8"/>
    </row>
    <row r="486" spans="11:13" ht="15.5" x14ac:dyDescent="0.35">
      <c r="K486" s="8"/>
      <c r="L486" s="8"/>
      <c r="M486" s="8"/>
    </row>
    <row r="487" spans="11:13" ht="15.5" x14ac:dyDescent="0.35">
      <c r="K487" s="8"/>
      <c r="L487" s="8"/>
      <c r="M487" s="8"/>
    </row>
    <row r="488" spans="11:13" ht="15.5" x14ac:dyDescent="0.35">
      <c r="K488" s="8"/>
      <c r="L488" s="8"/>
      <c r="M488" s="8"/>
    </row>
    <row r="489" spans="11:13" ht="15.5" x14ac:dyDescent="0.35">
      <c r="K489" s="8"/>
      <c r="L489" s="8"/>
      <c r="M489" s="8"/>
    </row>
    <row r="490" spans="11:13" ht="15.5" x14ac:dyDescent="0.35">
      <c r="K490" s="8"/>
      <c r="L490" s="8"/>
      <c r="M490" s="8"/>
    </row>
    <row r="491" spans="11:13" ht="15.5" x14ac:dyDescent="0.35">
      <c r="K491" s="8"/>
      <c r="L491" s="8"/>
      <c r="M491" s="8"/>
    </row>
    <row r="492" spans="11:13" ht="15.5" x14ac:dyDescent="0.35">
      <c r="K492" s="8"/>
      <c r="L492" s="8"/>
      <c r="M492" s="8"/>
    </row>
    <row r="493" spans="11:13" ht="15.5" x14ac:dyDescent="0.35">
      <c r="K493" s="8"/>
      <c r="L493" s="8"/>
      <c r="M493" s="8"/>
    </row>
    <row r="494" spans="11:13" ht="15.5" x14ac:dyDescent="0.35">
      <c r="K494" s="8"/>
      <c r="L494" s="8"/>
      <c r="M494" s="8"/>
    </row>
    <row r="495" spans="11:13" ht="15.5" x14ac:dyDescent="0.35">
      <c r="K495" s="8"/>
      <c r="L495" s="8"/>
      <c r="M495" s="8"/>
    </row>
    <row r="496" spans="11:13" ht="15.5" x14ac:dyDescent="0.35">
      <c r="K496" s="8"/>
      <c r="L496" s="8"/>
      <c r="M496" s="8"/>
    </row>
    <row r="497" spans="11:13" ht="15.5" x14ac:dyDescent="0.35">
      <c r="K497" s="8"/>
      <c r="L497" s="8"/>
      <c r="M497" s="8"/>
    </row>
    <row r="498" spans="11:13" ht="15.5" x14ac:dyDescent="0.35">
      <c r="K498" s="8"/>
      <c r="L498" s="8"/>
      <c r="M498" s="8"/>
    </row>
    <row r="499" spans="11:13" ht="15.5" x14ac:dyDescent="0.35">
      <c r="K499" s="8"/>
      <c r="L499" s="8"/>
      <c r="M499" s="8"/>
    </row>
    <row r="500" spans="11:13" ht="15.5" x14ac:dyDescent="0.35">
      <c r="K500" s="8"/>
      <c r="L500" s="8"/>
      <c r="M500" s="8"/>
    </row>
    <row r="501" spans="11:13" ht="15.5" x14ac:dyDescent="0.35">
      <c r="K501" s="8"/>
      <c r="L501" s="8"/>
      <c r="M501" s="8"/>
    </row>
    <row r="502" spans="11:13" ht="15.5" x14ac:dyDescent="0.35">
      <c r="K502" s="8"/>
      <c r="L502" s="8"/>
      <c r="M502" s="8"/>
    </row>
    <row r="503" spans="11:13" ht="15.5" x14ac:dyDescent="0.35">
      <c r="K503" s="8"/>
      <c r="L503" s="8"/>
      <c r="M503" s="8"/>
    </row>
    <row r="504" spans="11:13" ht="15.5" x14ac:dyDescent="0.35">
      <c r="K504" s="8"/>
      <c r="L504" s="8"/>
      <c r="M504" s="8"/>
    </row>
    <row r="505" spans="11:13" ht="15.5" x14ac:dyDescent="0.35">
      <c r="K505" s="8"/>
      <c r="L505" s="8"/>
      <c r="M505" s="8"/>
    </row>
    <row r="506" spans="11:13" ht="15.5" x14ac:dyDescent="0.35">
      <c r="K506" s="8"/>
      <c r="L506" s="8"/>
      <c r="M506" s="8"/>
    </row>
    <row r="507" spans="11:13" ht="15.5" x14ac:dyDescent="0.35">
      <c r="K507" s="8"/>
      <c r="L507" s="8"/>
      <c r="M507" s="8"/>
    </row>
    <row r="508" spans="11:13" ht="15.5" x14ac:dyDescent="0.35">
      <c r="K508" s="8"/>
      <c r="L508" s="8"/>
      <c r="M508" s="8"/>
    </row>
    <row r="509" spans="11:13" ht="15.5" x14ac:dyDescent="0.35">
      <c r="K509" s="8"/>
      <c r="L509" s="8"/>
      <c r="M509" s="8"/>
    </row>
    <row r="510" spans="11:13" ht="15.5" x14ac:dyDescent="0.35">
      <c r="K510" s="8"/>
      <c r="L510" s="8"/>
      <c r="M510" s="8"/>
    </row>
    <row r="511" spans="11:13" ht="15.5" x14ac:dyDescent="0.35">
      <c r="K511" s="8"/>
      <c r="L511" s="8"/>
      <c r="M511" s="8"/>
    </row>
    <row r="512" spans="11:13" ht="15.5" x14ac:dyDescent="0.35">
      <c r="K512" s="8"/>
      <c r="L512" s="8"/>
      <c r="M512" s="8"/>
    </row>
    <row r="513" spans="11:13" ht="15.5" x14ac:dyDescent="0.35">
      <c r="K513" s="8"/>
      <c r="L513" s="8"/>
      <c r="M513" s="8"/>
    </row>
    <row r="514" spans="11:13" ht="15.5" x14ac:dyDescent="0.35">
      <c r="K514" s="8"/>
      <c r="L514" s="8"/>
      <c r="M514" s="8"/>
    </row>
    <row r="515" spans="11:13" ht="15.5" x14ac:dyDescent="0.35">
      <c r="K515" s="8"/>
      <c r="L515" s="8"/>
      <c r="M515" s="8"/>
    </row>
    <row r="516" spans="11:13" ht="15.5" x14ac:dyDescent="0.35">
      <c r="K516" s="8"/>
      <c r="L516" s="8"/>
      <c r="M516" s="8"/>
    </row>
    <row r="517" spans="11:13" ht="15.5" x14ac:dyDescent="0.35">
      <c r="K517" s="8"/>
      <c r="L517" s="8"/>
      <c r="M517" s="8"/>
    </row>
    <row r="518" spans="11:13" ht="15.5" x14ac:dyDescent="0.35">
      <c r="K518" s="8"/>
      <c r="L518" s="8"/>
      <c r="M518" s="8"/>
    </row>
    <row r="519" spans="11:13" ht="15.5" x14ac:dyDescent="0.35">
      <c r="K519" s="8"/>
      <c r="L519" s="8"/>
      <c r="M519" s="8"/>
    </row>
    <row r="520" spans="11:13" ht="15.5" x14ac:dyDescent="0.35">
      <c r="K520" s="8"/>
      <c r="L520" s="8"/>
      <c r="M520" s="8"/>
    </row>
    <row r="521" spans="11:13" ht="15.5" x14ac:dyDescent="0.35">
      <c r="K521" s="8"/>
      <c r="L521" s="8"/>
      <c r="M521" s="8"/>
    </row>
    <row r="522" spans="11:13" ht="15.5" x14ac:dyDescent="0.35">
      <c r="K522" s="8"/>
      <c r="L522" s="8"/>
      <c r="M522" s="8"/>
    </row>
    <row r="523" spans="11:13" ht="15.5" x14ac:dyDescent="0.35">
      <c r="K523" s="8"/>
      <c r="L523" s="8"/>
      <c r="M523" s="8"/>
    </row>
    <row r="524" spans="11:13" ht="15.5" x14ac:dyDescent="0.35">
      <c r="K524" s="8"/>
      <c r="L524" s="8"/>
      <c r="M524" s="8"/>
    </row>
    <row r="525" spans="11:13" ht="15.5" x14ac:dyDescent="0.35">
      <c r="K525" s="8"/>
      <c r="L525" s="8"/>
      <c r="M525" s="8"/>
    </row>
    <row r="526" spans="11:13" ht="15.5" x14ac:dyDescent="0.35">
      <c r="K526" s="8"/>
      <c r="L526" s="8"/>
      <c r="M526" s="8"/>
    </row>
    <row r="527" spans="11:13" ht="15.5" x14ac:dyDescent="0.35">
      <c r="K527" s="8"/>
      <c r="L527" s="8"/>
      <c r="M527" s="8"/>
    </row>
    <row r="528" spans="11:13" ht="15.5" x14ac:dyDescent="0.35">
      <c r="K528" s="8"/>
      <c r="L528" s="8"/>
      <c r="M528" s="8"/>
    </row>
    <row r="529" spans="11:13" ht="15.5" x14ac:dyDescent="0.35">
      <c r="K529" s="8"/>
      <c r="L529" s="8"/>
      <c r="M529" s="8"/>
    </row>
    <row r="530" spans="11:13" ht="15.5" x14ac:dyDescent="0.35">
      <c r="K530" s="8"/>
      <c r="L530" s="8"/>
      <c r="M530" s="8"/>
    </row>
    <row r="531" spans="11:13" ht="15.5" x14ac:dyDescent="0.35">
      <c r="K531" s="8"/>
      <c r="L531" s="8"/>
      <c r="M531" s="8"/>
    </row>
    <row r="532" spans="11:13" ht="15.5" x14ac:dyDescent="0.35">
      <c r="K532" s="8"/>
      <c r="L532" s="8"/>
      <c r="M532" s="8"/>
    </row>
    <row r="533" spans="11:13" ht="15.5" x14ac:dyDescent="0.35">
      <c r="K533" s="8"/>
      <c r="L533" s="8"/>
      <c r="M533" s="8"/>
    </row>
    <row r="534" spans="11:13" ht="15.5" x14ac:dyDescent="0.35">
      <c r="K534" s="8"/>
      <c r="L534" s="8"/>
      <c r="M534" s="8"/>
    </row>
    <row r="535" spans="11:13" ht="15.5" x14ac:dyDescent="0.35">
      <c r="K535" s="8"/>
      <c r="L535" s="8"/>
      <c r="M535" s="8"/>
    </row>
    <row r="536" spans="11:13" ht="15.5" x14ac:dyDescent="0.35">
      <c r="K536" s="8"/>
      <c r="L536" s="8"/>
      <c r="M536" s="8"/>
    </row>
    <row r="537" spans="11:13" ht="15.5" x14ac:dyDescent="0.35">
      <c r="K537" s="8"/>
      <c r="L537" s="8"/>
      <c r="M537" s="8"/>
    </row>
    <row r="538" spans="11:13" ht="15.5" x14ac:dyDescent="0.35">
      <c r="K538" s="8"/>
      <c r="L538" s="8"/>
      <c r="M538" s="8"/>
    </row>
    <row r="539" spans="11:13" ht="15.5" x14ac:dyDescent="0.35">
      <c r="K539" s="8"/>
      <c r="L539" s="8"/>
      <c r="M539" s="8"/>
    </row>
    <row r="540" spans="11:13" ht="15.5" x14ac:dyDescent="0.35">
      <c r="K540" s="8"/>
      <c r="L540" s="8"/>
      <c r="M540" s="8"/>
    </row>
    <row r="541" spans="11:13" ht="15.5" x14ac:dyDescent="0.35">
      <c r="K541" s="8"/>
      <c r="L541" s="8"/>
      <c r="M541" s="8"/>
    </row>
    <row r="542" spans="11:13" ht="15.5" x14ac:dyDescent="0.35">
      <c r="K542" s="8"/>
      <c r="L542" s="8"/>
      <c r="M542" s="8"/>
    </row>
    <row r="543" spans="11:13" ht="15.5" x14ac:dyDescent="0.35">
      <c r="K543" s="8"/>
      <c r="L543" s="8"/>
      <c r="M543" s="8"/>
    </row>
    <row r="544" spans="11:13" ht="15.5" x14ac:dyDescent="0.35">
      <c r="K544" s="8"/>
      <c r="L544" s="8"/>
      <c r="M544" s="8"/>
    </row>
    <row r="545" spans="11:13" ht="15.5" x14ac:dyDescent="0.35">
      <c r="K545" s="8"/>
      <c r="L545" s="8"/>
      <c r="M545" s="8"/>
    </row>
    <row r="546" spans="11:13" ht="15.5" x14ac:dyDescent="0.35">
      <c r="K546" s="8"/>
      <c r="L546" s="8"/>
      <c r="M546" s="8"/>
    </row>
    <row r="547" spans="11:13" ht="15.5" x14ac:dyDescent="0.35">
      <c r="K547" s="8"/>
      <c r="L547" s="8"/>
      <c r="M547" s="8"/>
    </row>
    <row r="548" spans="11:13" ht="15.5" x14ac:dyDescent="0.35">
      <c r="K548" s="8"/>
      <c r="L548" s="8"/>
      <c r="M548" s="8"/>
    </row>
    <row r="549" spans="11:13" ht="15.5" x14ac:dyDescent="0.35">
      <c r="K549" s="8"/>
      <c r="L549" s="8"/>
      <c r="M549" s="8"/>
    </row>
    <row r="550" spans="11:13" ht="15.5" x14ac:dyDescent="0.35">
      <c r="K550" s="8"/>
      <c r="L550" s="8"/>
      <c r="M550" s="8"/>
    </row>
    <row r="551" spans="11:13" ht="15.5" x14ac:dyDescent="0.35">
      <c r="K551" s="8"/>
      <c r="L551" s="8"/>
      <c r="M551" s="8"/>
    </row>
    <row r="552" spans="11:13" ht="15.5" x14ac:dyDescent="0.35">
      <c r="K552" s="8"/>
      <c r="L552" s="8"/>
      <c r="M552" s="8"/>
    </row>
    <row r="553" spans="11:13" ht="15.5" x14ac:dyDescent="0.35">
      <c r="K553" s="8"/>
      <c r="L553" s="8"/>
      <c r="M553" s="8"/>
    </row>
    <row r="554" spans="11:13" ht="15.5" x14ac:dyDescent="0.35">
      <c r="K554" s="8"/>
      <c r="L554" s="8"/>
      <c r="M554" s="8"/>
    </row>
    <row r="555" spans="11:13" ht="15.5" x14ac:dyDescent="0.35">
      <c r="K555" s="8"/>
      <c r="L555" s="8"/>
      <c r="M555" s="8"/>
    </row>
    <row r="556" spans="11:13" ht="15.5" x14ac:dyDescent="0.35">
      <c r="K556" s="8"/>
      <c r="L556" s="8"/>
      <c r="M556" s="8"/>
    </row>
    <row r="557" spans="11:13" ht="15.5" x14ac:dyDescent="0.35">
      <c r="K557" s="8"/>
      <c r="L557" s="8"/>
      <c r="M557" s="8"/>
    </row>
    <row r="558" spans="11:13" ht="15.5" x14ac:dyDescent="0.35">
      <c r="K558" s="8"/>
      <c r="L558" s="8"/>
      <c r="M558" s="8"/>
    </row>
    <row r="559" spans="11:13" ht="15.5" x14ac:dyDescent="0.35">
      <c r="K559" s="8"/>
      <c r="L559" s="8"/>
      <c r="M559" s="8"/>
    </row>
    <row r="560" spans="11:13" ht="15.5" x14ac:dyDescent="0.35">
      <c r="K560" s="8"/>
      <c r="L560" s="8"/>
      <c r="M560" s="8"/>
    </row>
    <row r="561" spans="11:13" ht="15.5" x14ac:dyDescent="0.35">
      <c r="K561" s="8"/>
      <c r="L561" s="8"/>
      <c r="M561" s="8"/>
    </row>
    <row r="562" spans="11:13" ht="15.5" x14ac:dyDescent="0.35">
      <c r="K562" s="8"/>
      <c r="L562" s="8"/>
      <c r="M562" s="8"/>
    </row>
    <row r="563" spans="11:13" ht="15.5" x14ac:dyDescent="0.35">
      <c r="K563" s="8"/>
      <c r="L563" s="8"/>
      <c r="M563" s="8"/>
    </row>
    <row r="564" spans="11:13" ht="15.5" x14ac:dyDescent="0.35">
      <c r="K564" s="8"/>
      <c r="L564" s="8"/>
      <c r="M564" s="8"/>
    </row>
    <row r="565" spans="11:13" ht="15.5" x14ac:dyDescent="0.35">
      <c r="K565" s="8"/>
      <c r="L565" s="8"/>
      <c r="M565" s="8"/>
    </row>
    <row r="566" spans="11:13" ht="15.5" x14ac:dyDescent="0.35">
      <c r="K566" s="8"/>
      <c r="L566" s="8"/>
      <c r="M566" s="8"/>
    </row>
    <row r="567" spans="11:13" ht="15.5" x14ac:dyDescent="0.35">
      <c r="K567" s="8"/>
      <c r="L567" s="8"/>
      <c r="M567" s="8"/>
    </row>
    <row r="568" spans="11:13" ht="15.5" x14ac:dyDescent="0.35">
      <c r="K568" s="8"/>
      <c r="L568" s="8"/>
      <c r="M568" s="8"/>
    </row>
    <row r="569" spans="11:13" ht="15.5" x14ac:dyDescent="0.35">
      <c r="K569" s="8"/>
      <c r="L569" s="8"/>
      <c r="M569" s="8"/>
    </row>
    <row r="570" spans="11:13" ht="15.5" x14ac:dyDescent="0.35">
      <c r="K570" s="8"/>
      <c r="L570" s="8"/>
      <c r="M570" s="8"/>
    </row>
    <row r="571" spans="11:13" ht="15.5" x14ac:dyDescent="0.35">
      <c r="K571" s="8"/>
      <c r="L571" s="8"/>
      <c r="M571" s="8"/>
    </row>
    <row r="572" spans="11:13" ht="15.5" x14ac:dyDescent="0.35">
      <c r="K572" s="8"/>
      <c r="L572" s="8"/>
      <c r="M572" s="8"/>
    </row>
    <row r="573" spans="11:13" ht="15.5" x14ac:dyDescent="0.35">
      <c r="K573" s="8"/>
      <c r="L573" s="8"/>
      <c r="M573" s="8"/>
    </row>
    <row r="574" spans="11:13" ht="15.5" x14ac:dyDescent="0.35">
      <c r="K574" s="8"/>
      <c r="L574" s="8"/>
      <c r="M574" s="8"/>
    </row>
    <row r="575" spans="11:13" ht="15.5" x14ac:dyDescent="0.35">
      <c r="K575" s="8"/>
      <c r="L575" s="8"/>
      <c r="M575" s="8"/>
    </row>
    <row r="576" spans="11:13" ht="15.5" x14ac:dyDescent="0.35">
      <c r="K576" s="8"/>
      <c r="L576" s="8"/>
      <c r="M576" s="8"/>
    </row>
    <row r="577" spans="11:13" ht="15.5" x14ac:dyDescent="0.35">
      <c r="K577" s="8"/>
      <c r="L577" s="8"/>
      <c r="M577" s="8"/>
    </row>
    <row r="578" spans="11:13" ht="15.5" x14ac:dyDescent="0.35">
      <c r="K578" s="8"/>
      <c r="L578" s="8"/>
      <c r="M578" s="8"/>
    </row>
    <row r="579" spans="11:13" ht="15.5" x14ac:dyDescent="0.35">
      <c r="K579" s="8"/>
      <c r="L579" s="8"/>
      <c r="M579" s="8"/>
    </row>
    <row r="580" spans="11:13" ht="15.5" x14ac:dyDescent="0.35">
      <c r="K580" s="8"/>
      <c r="L580" s="8"/>
      <c r="M580" s="8"/>
    </row>
    <row r="581" spans="11:13" ht="15.5" x14ac:dyDescent="0.35">
      <c r="K581" s="8"/>
      <c r="L581" s="8"/>
      <c r="M581" s="8"/>
    </row>
    <row r="582" spans="11:13" ht="15.5" x14ac:dyDescent="0.35">
      <c r="K582" s="8"/>
      <c r="L582" s="8"/>
      <c r="M582" s="8"/>
    </row>
    <row r="583" spans="11:13" ht="15.5" x14ac:dyDescent="0.35">
      <c r="K583" s="8"/>
      <c r="L583" s="8"/>
      <c r="M583" s="8"/>
    </row>
    <row r="584" spans="11:13" ht="15.5" x14ac:dyDescent="0.35">
      <c r="K584" s="8"/>
      <c r="L584" s="8"/>
      <c r="M584" s="8"/>
    </row>
    <row r="585" spans="11:13" ht="15.5" x14ac:dyDescent="0.35">
      <c r="K585" s="8"/>
      <c r="L585" s="8"/>
      <c r="M585" s="8"/>
    </row>
    <row r="586" spans="11:13" ht="15.5" x14ac:dyDescent="0.35">
      <c r="K586" s="8"/>
      <c r="L586" s="8"/>
      <c r="M586" s="8"/>
    </row>
    <row r="587" spans="11:13" ht="15.5" x14ac:dyDescent="0.35">
      <c r="K587" s="8"/>
      <c r="L587" s="8"/>
      <c r="M587" s="8"/>
    </row>
    <row r="588" spans="11:13" ht="15.5" x14ac:dyDescent="0.35">
      <c r="K588" s="8"/>
      <c r="L588" s="8"/>
      <c r="M588" s="8"/>
    </row>
    <row r="589" spans="11:13" ht="15.5" x14ac:dyDescent="0.35">
      <c r="K589" s="8"/>
      <c r="L589" s="8"/>
      <c r="M589" s="8"/>
    </row>
    <row r="590" spans="11:13" ht="15.5" x14ac:dyDescent="0.35">
      <c r="K590" s="8"/>
      <c r="L590" s="8"/>
      <c r="M590" s="8"/>
    </row>
    <row r="591" spans="11:13" ht="15.5" x14ac:dyDescent="0.35">
      <c r="K591" s="8"/>
      <c r="L591" s="8"/>
      <c r="M591" s="8"/>
    </row>
    <row r="592" spans="11:13" ht="15.5" x14ac:dyDescent="0.35">
      <c r="K592" s="8"/>
      <c r="L592" s="8"/>
      <c r="M592" s="8"/>
    </row>
    <row r="593" spans="11:13" ht="15.5" x14ac:dyDescent="0.35">
      <c r="K593" s="8"/>
      <c r="L593" s="8"/>
      <c r="M593" s="8"/>
    </row>
    <row r="594" spans="11:13" ht="15.5" x14ac:dyDescent="0.35">
      <c r="K594" s="8"/>
      <c r="L594" s="8"/>
      <c r="M594" s="8"/>
    </row>
    <row r="595" spans="11:13" ht="15.5" x14ac:dyDescent="0.35">
      <c r="K595" s="8"/>
      <c r="L595" s="8"/>
      <c r="M595" s="8"/>
    </row>
    <row r="596" spans="11:13" ht="15.5" x14ac:dyDescent="0.35">
      <c r="K596" s="8"/>
      <c r="L596" s="8"/>
      <c r="M596" s="8"/>
    </row>
    <row r="597" spans="11:13" ht="15.5" x14ac:dyDescent="0.35">
      <c r="K597" s="8"/>
      <c r="L597" s="8"/>
      <c r="M597" s="8"/>
    </row>
    <row r="598" spans="11:13" ht="15.5" x14ac:dyDescent="0.35">
      <c r="K598" s="8"/>
      <c r="L598" s="8"/>
      <c r="M598" s="8"/>
    </row>
    <row r="599" spans="11:13" ht="15.5" x14ac:dyDescent="0.35">
      <c r="K599" s="8"/>
      <c r="L599" s="8"/>
      <c r="M599" s="8"/>
    </row>
    <row r="600" spans="11:13" ht="15.5" x14ac:dyDescent="0.35">
      <c r="K600" s="8"/>
      <c r="L600" s="8"/>
      <c r="M600" s="8"/>
    </row>
    <row r="601" spans="11:13" ht="15.5" x14ac:dyDescent="0.35">
      <c r="K601" s="8"/>
      <c r="L601" s="8"/>
      <c r="M601" s="8"/>
    </row>
    <row r="602" spans="11:13" ht="15.5" x14ac:dyDescent="0.35">
      <c r="K602" s="8"/>
      <c r="L602" s="8"/>
      <c r="M602" s="8"/>
    </row>
    <row r="603" spans="11:13" ht="15.5" x14ac:dyDescent="0.35">
      <c r="K603" s="8"/>
      <c r="L603" s="8"/>
      <c r="M603" s="8"/>
    </row>
    <row r="604" spans="11:13" ht="15.5" x14ac:dyDescent="0.35">
      <c r="K604" s="8"/>
      <c r="L604" s="8"/>
      <c r="M604" s="8"/>
    </row>
    <row r="605" spans="11:13" ht="15.5" x14ac:dyDescent="0.35">
      <c r="K605" s="8"/>
      <c r="L605" s="8"/>
      <c r="M605" s="8"/>
    </row>
    <row r="606" spans="11:13" ht="15.5" x14ac:dyDescent="0.35">
      <c r="K606" s="8"/>
      <c r="L606" s="8"/>
      <c r="M606" s="8"/>
    </row>
    <row r="607" spans="11:13" ht="15.5" x14ac:dyDescent="0.35">
      <c r="K607" s="8"/>
      <c r="L607" s="8"/>
      <c r="M607" s="8"/>
    </row>
    <row r="608" spans="11:13" ht="15.5" x14ac:dyDescent="0.35">
      <c r="K608" s="8"/>
      <c r="L608" s="8"/>
      <c r="M608" s="8"/>
    </row>
    <row r="609" spans="11:13" ht="15.5" x14ac:dyDescent="0.35">
      <c r="K609" s="8"/>
      <c r="L609" s="8"/>
      <c r="M609" s="8"/>
    </row>
    <row r="610" spans="11:13" ht="15.5" x14ac:dyDescent="0.35">
      <c r="K610" s="8"/>
      <c r="L610" s="8"/>
      <c r="M610" s="8"/>
    </row>
    <row r="611" spans="11:13" ht="15.5" x14ac:dyDescent="0.35">
      <c r="K611" s="8"/>
      <c r="L611" s="8"/>
      <c r="M611" s="8"/>
    </row>
    <row r="612" spans="11:13" ht="15.5" x14ac:dyDescent="0.35">
      <c r="K612" s="8"/>
      <c r="L612" s="8"/>
      <c r="M612" s="8"/>
    </row>
    <row r="613" spans="11:13" ht="15.5" x14ac:dyDescent="0.35">
      <c r="K613" s="8"/>
      <c r="L613" s="8"/>
      <c r="M613" s="8"/>
    </row>
    <row r="614" spans="11:13" ht="15.5" x14ac:dyDescent="0.35">
      <c r="K614" s="8"/>
      <c r="L614" s="8"/>
      <c r="M614" s="8"/>
    </row>
    <row r="615" spans="11:13" ht="15.5" x14ac:dyDescent="0.35">
      <c r="K615" s="8"/>
      <c r="L615" s="8"/>
      <c r="M615" s="8"/>
    </row>
    <row r="616" spans="11:13" ht="15.5" x14ac:dyDescent="0.35">
      <c r="K616" s="8"/>
      <c r="L616" s="8"/>
      <c r="M616" s="8"/>
    </row>
    <row r="617" spans="11:13" ht="15.5" x14ac:dyDescent="0.35">
      <c r="K617" s="8"/>
      <c r="L617" s="8"/>
      <c r="M617" s="8"/>
    </row>
    <row r="618" spans="11:13" ht="15.5" x14ac:dyDescent="0.35">
      <c r="K618" s="8"/>
      <c r="L618" s="8"/>
      <c r="M618" s="8"/>
    </row>
    <row r="619" spans="11:13" ht="15.5" x14ac:dyDescent="0.35">
      <c r="K619" s="8"/>
      <c r="L619" s="8"/>
      <c r="M619" s="8"/>
    </row>
    <row r="620" spans="11:13" ht="15.5" x14ac:dyDescent="0.35">
      <c r="K620" s="8"/>
      <c r="L620" s="8"/>
      <c r="M620" s="8"/>
    </row>
    <row r="621" spans="11:13" ht="15.5" x14ac:dyDescent="0.35">
      <c r="K621" s="8"/>
      <c r="L621" s="8"/>
      <c r="M621" s="8"/>
    </row>
    <row r="622" spans="11:13" ht="15.5" x14ac:dyDescent="0.35">
      <c r="K622" s="8"/>
      <c r="L622" s="8"/>
      <c r="M622" s="8"/>
    </row>
    <row r="623" spans="11:13" ht="15.5" x14ac:dyDescent="0.35">
      <c r="K623" s="8"/>
      <c r="L623" s="8"/>
      <c r="M623" s="8"/>
    </row>
    <row r="624" spans="11:13" ht="15.5" x14ac:dyDescent="0.35">
      <c r="K624" s="8"/>
      <c r="L624" s="8"/>
      <c r="M624" s="8"/>
    </row>
    <row r="625" spans="11:13" ht="15.5" x14ac:dyDescent="0.35">
      <c r="K625" s="8"/>
      <c r="L625" s="8"/>
      <c r="M625" s="8"/>
    </row>
    <row r="626" spans="11:13" ht="15.5" x14ac:dyDescent="0.35">
      <c r="K626" s="8"/>
      <c r="L626" s="8"/>
      <c r="M626" s="8"/>
    </row>
    <row r="627" spans="11:13" ht="15.5" x14ac:dyDescent="0.35">
      <c r="K627" s="8"/>
      <c r="L627" s="8"/>
      <c r="M627" s="8"/>
    </row>
    <row r="628" spans="11:13" ht="15.5" x14ac:dyDescent="0.35">
      <c r="K628" s="8"/>
      <c r="L628" s="8"/>
      <c r="M628" s="8"/>
    </row>
    <row r="629" spans="11:13" ht="15.5" x14ac:dyDescent="0.35">
      <c r="K629" s="8"/>
      <c r="L629" s="8"/>
      <c r="M629" s="8"/>
    </row>
    <row r="630" spans="11:13" ht="15.5" x14ac:dyDescent="0.35">
      <c r="K630" s="8"/>
      <c r="L630" s="8"/>
      <c r="M630" s="8"/>
    </row>
    <row r="631" spans="11:13" ht="15.5" x14ac:dyDescent="0.35">
      <c r="K631" s="8"/>
      <c r="L631" s="8"/>
      <c r="M631" s="8"/>
    </row>
    <row r="632" spans="11:13" ht="15.5" x14ac:dyDescent="0.35">
      <c r="K632" s="8"/>
      <c r="L632" s="8"/>
      <c r="M632" s="8"/>
    </row>
    <row r="633" spans="11:13" ht="15.5" x14ac:dyDescent="0.35">
      <c r="K633" s="8"/>
      <c r="L633" s="8"/>
      <c r="M633" s="8"/>
    </row>
    <row r="634" spans="11:13" ht="15.5" x14ac:dyDescent="0.35">
      <c r="K634" s="8"/>
      <c r="L634" s="8"/>
      <c r="M634" s="8"/>
    </row>
    <row r="635" spans="11:13" ht="15.5" x14ac:dyDescent="0.35">
      <c r="K635" s="8"/>
      <c r="L635" s="8"/>
      <c r="M635" s="8"/>
    </row>
    <row r="636" spans="11:13" ht="15.5" x14ac:dyDescent="0.35">
      <c r="K636" s="8"/>
      <c r="L636" s="8"/>
      <c r="M636" s="8"/>
    </row>
    <row r="637" spans="11:13" ht="15.5" x14ac:dyDescent="0.35">
      <c r="K637" s="8"/>
      <c r="L637" s="8"/>
      <c r="M637" s="8"/>
    </row>
    <row r="638" spans="11:13" ht="15.5" x14ac:dyDescent="0.35">
      <c r="K638" s="8"/>
      <c r="L638" s="8"/>
      <c r="M638" s="8"/>
    </row>
    <row r="639" spans="11:13" ht="15.5" x14ac:dyDescent="0.35">
      <c r="K639" s="8"/>
      <c r="L639" s="8"/>
      <c r="M639" s="8"/>
    </row>
    <row r="640" spans="11:13" ht="15.5" x14ac:dyDescent="0.35">
      <c r="K640" s="8"/>
      <c r="L640" s="8"/>
      <c r="M640" s="8"/>
    </row>
    <row r="641" spans="11:13" ht="15.5" x14ac:dyDescent="0.35">
      <c r="K641" s="8"/>
      <c r="L641" s="8"/>
      <c r="M641" s="8"/>
    </row>
    <row r="642" spans="11:13" ht="15.5" x14ac:dyDescent="0.35">
      <c r="K642" s="8"/>
      <c r="L642" s="8"/>
      <c r="M642" s="8"/>
    </row>
    <row r="643" spans="11:13" ht="15.5" x14ac:dyDescent="0.35">
      <c r="K643" s="8"/>
      <c r="L643" s="8"/>
      <c r="M643" s="8"/>
    </row>
    <row r="644" spans="11:13" ht="15.5" x14ac:dyDescent="0.35">
      <c r="K644" s="8"/>
      <c r="L644" s="8"/>
      <c r="M644" s="8"/>
    </row>
    <row r="645" spans="11:13" ht="15.5" x14ac:dyDescent="0.35">
      <c r="K645" s="8"/>
      <c r="L645" s="8"/>
      <c r="M645" s="8"/>
    </row>
    <row r="646" spans="11:13" ht="15.5" x14ac:dyDescent="0.35">
      <c r="K646" s="8"/>
      <c r="L646" s="8"/>
      <c r="M646" s="8"/>
    </row>
    <row r="647" spans="11:13" ht="15.5" x14ac:dyDescent="0.35">
      <c r="K647" s="8"/>
      <c r="L647" s="8"/>
      <c r="M647" s="8"/>
    </row>
    <row r="648" spans="11:13" ht="15.5" x14ac:dyDescent="0.35">
      <c r="K648" s="8"/>
      <c r="L648" s="8"/>
      <c r="M648" s="8"/>
    </row>
    <row r="649" spans="11:13" ht="15.5" x14ac:dyDescent="0.35">
      <c r="K649" s="8"/>
      <c r="L649" s="8"/>
      <c r="M649" s="8"/>
    </row>
    <row r="650" spans="11:13" ht="15.5" x14ac:dyDescent="0.35">
      <c r="K650" s="8"/>
      <c r="L650" s="8"/>
      <c r="M650" s="8"/>
    </row>
    <row r="651" spans="11:13" ht="15.5" x14ac:dyDescent="0.35">
      <c r="K651" s="8"/>
      <c r="L651" s="8"/>
      <c r="M651" s="8"/>
    </row>
    <row r="652" spans="11:13" ht="15.5" x14ac:dyDescent="0.35">
      <c r="K652" s="8"/>
      <c r="L652" s="8"/>
      <c r="M652" s="8"/>
    </row>
    <row r="653" spans="11:13" ht="15.5" x14ac:dyDescent="0.35">
      <c r="K653" s="8"/>
      <c r="L653" s="8"/>
      <c r="M653" s="8"/>
    </row>
    <row r="654" spans="11:13" ht="15.5" x14ac:dyDescent="0.35">
      <c r="K654" s="8"/>
      <c r="L654" s="8"/>
      <c r="M654" s="8"/>
    </row>
    <row r="655" spans="11:13" ht="15.5" x14ac:dyDescent="0.35">
      <c r="K655" s="8"/>
      <c r="L655" s="8"/>
      <c r="M655" s="8"/>
    </row>
    <row r="656" spans="11:13" ht="15.5" x14ac:dyDescent="0.35">
      <c r="K656" s="8"/>
      <c r="L656" s="8"/>
      <c r="M656" s="8"/>
    </row>
    <row r="657" spans="11:13" ht="15.5" x14ac:dyDescent="0.35">
      <c r="K657" s="8"/>
      <c r="L657" s="8"/>
      <c r="M657" s="8"/>
    </row>
    <row r="658" spans="11:13" ht="15.5" x14ac:dyDescent="0.35">
      <c r="K658" s="8"/>
      <c r="L658" s="8"/>
      <c r="M658" s="8"/>
    </row>
    <row r="659" spans="11:13" ht="15.5" x14ac:dyDescent="0.35">
      <c r="K659" s="8"/>
      <c r="L659" s="8"/>
      <c r="M659" s="8"/>
    </row>
    <row r="660" spans="11:13" ht="15.5" x14ac:dyDescent="0.35">
      <c r="K660" s="8"/>
      <c r="L660" s="8"/>
      <c r="M660" s="8"/>
    </row>
    <row r="661" spans="11:13" ht="15.5" x14ac:dyDescent="0.35">
      <c r="K661" s="8"/>
      <c r="L661" s="8"/>
      <c r="M661" s="8"/>
    </row>
    <row r="662" spans="11:13" ht="15.5" x14ac:dyDescent="0.35">
      <c r="K662" s="8"/>
      <c r="L662" s="8"/>
      <c r="M662" s="8"/>
    </row>
    <row r="663" spans="11:13" ht="15.5" x14ac:dyDescent="0.35">
      <c r="K663" s="8"/>
      <c r="L663" s="8"/>
      <c r="M663" s="8"/>
    </row>
    <row r="664" spans="11:13" ht="15.5" x14ac:dyDescent="0.35">
      <c r="K664" s="8"/>
      <c r="L664" s="8"/>
      <c r="M664" s="8"/>
    </row>
    <row r="665" spans="11:13" ht="15.5" x14ac:dyDescent="0.35">
      <c r="K665" s="8"/>
      <c r="L665" s="8"/>
      <c r="M665" s="8"/>
    </row>
    <row r="666" spans="11:13" ht="15.5" x14ac:dyDescent="0.35">
      <c r="K666" s="8"/>
      <c r="L666" s="8"/>
      <c r="M666" s="8"/>
    </row>
    <row r="667" spans="11:13" ht="15.5" x14ac:dyDescent="0.35">
      <c r="K667" s="8"/>
      <c r="L667" s="8"/>
      <c r="M667" s="8"/>
    </row>
    <row r="668" spans="11:13" ht="15.5" x14ac:dyDescent="0.35">
      <c r="K668" s="8"/>
      <c r="L668" s="8"/>
      <c r="M668" s="8"/>
    </row>
    <row r="669" spans="11:13" ht="15.5" x14ac:dyDescent="0.35">
      <c r="K669" s="8"/>
      <c r="L669" s="8"/>
      <c r="M669" s="8"/>
    </row>
    <row r="670" spans="11:13" ht="15.5" x14ac:dyDescent="0.35">
      <c r="K670" s="8"/>
      <c r="L670" s="8"/>
      <c r="M670" s="8"/>
    </row>
    <row r="671" spans="11:13" ht="15.5" x14ac:dyDescent="0.35">
      <c r="K671" s="8"/>
      <c r="L671" s="8"/>
      <c r="M671" s="8"/>
    </row>
    <row r="672" spans="11:13" ht="15.5" x14ac:dyDescent="0.35">
      <c r="K672" s="8"/>
      <c r="L672" s="8"/>
      <c r="M672" s="8"/>
    </row>
    <row r="673" spans="11:13" ht="15.5" x14ac:dyDescent="0.35">
      <c r="K673" s="8"/>
      <c r="L673" s="8"/>
      <c r="M673" s="8"/>
    </row>
    <row r="674" spans="11:13" ht="15.5" x14ac:dyDescent="0.35">
      <c r="K674" s="8"/>
      <c r="L674" s="8"/>
      <c r="M674" s="8"/>
    </row>
    <row r="675" spans="11:13" ht="15.5" x14ac:dyDescent="0.35">
      <c r="K675" s="8"/>
      <c r="L675" s="8"/>
      <c r="M675" s="8"/>
    </row>
    <row r="676" spans="11:13" ht="15.5" x14ac:dyDescent="0.35">
      <c r="K676" s="8"/>
      <c r="L676" s="8"/>
      <c r="M676" s="8"/>
    </row>
    <row r="677" spans="11:13" ht="15.5" x14ac:dyDescent="0.35">
      <c r="K677" s="8"/>
      <c r="L677" s="8"/>
      <c r="M677" s="8"/>
    </row>
    <row r="678" spans="11:13" ht="15.5" x14ac:dyDescent="0.35">
      <c r="K678" s="8"/>
      <c r="L678" s="8"/>
      <c r="M678" s="8"/>
    </row>
    <row r="679" spans="11:13" ht="15.5" x14ac:dyDescent="0.35">
      <c r="K679" s="8"/>
      <c r="L679" s="8"/>
      <c r="M679" s="8"/>
    </row>
    <row r="680" spans="11:13" ht="15.5" x14ac:dyDescent="0.35">
      <c r="K680" s="8"/>
      <c r="L680" s="8"/>
      <c r="M680" s="8"/>
    </row>
    <row r="681" spans="11:13" ht="15.5" x14ac:dyDescent="0.35">
      <c r="K681" s="8"/>
      <c r="L681" s="8"/>
      <c r="M681" s="8"/>
    </row>
    <row r="682" spans="11:13" ht="15.5" x14ac:dyDescent="0.35">
      <c r="K682" s="8"/>
      <c r="L682" s="8"/>
      <c r="M682" s="8"/>
    </row>
    <row r="683" spans="11:13" ht="15.5" x14ac:dyDescent="0.35">
      <c r="K683" s="8"/>
      <c r="L683" s="8"/>
      <c r="M683" s="8"/>
    </row>
    <row r="684" spans="11:13" ht="15.5" x14ac:dyDescent="0.35">
      <c r="K684" s="8"/>
      <c r="L684" s="8"/>
      <c r="M684" s="8"/>
    </row>
    <row r="685" spans="11:13" ht="15.5" x14ac:dyDescent="0.35">
      <c r="K685" s="8"/>
      <c r="L685" s="8"/>
      <c r="M685" s="8"/>
    </row>
    <row r="686" spans="11:13" ht="15.5" x14ac:dyDescent="0.35">
      <c r="K686" s="8"/>
      <c r="L686" s="8"/>
      <c r="M686" s="8"/>
    </row>
    <row r="687" spans="11:13" ht="15.5" x14ac:dyDescent="0.35">
      <c r="K687" s="8"/>
      <c r="L687" s="8"/>
      <c r="M687" s="8"/>
    </row>
    <row r="688" spans="11:13" ht="15.5" x14ac:dyDescent="0.35">
      <c r="K688" s="8"/>
      <c r="L688" s="8"/>
      <c r="M688" s="8"/>
    </row>
    <row r="689" spans="11:13" ht="15.5" x14ac:dyDescent="0.35">
      <c r="K689" s="8"/>
      <c r="L689" s="8"/>
      <c r="M689" s="8"/>
    </row>
    <row r="690" spans="11:13" ht="15.5" x14ac:dyDescent="0.35">
      <c r="K690" s="8"/>
      <c r="L690" s="8"/>
      <c r="M690" s="8"/>
    </row>
    <row r="691" spans="11:13" ht="15.5" x14ac:dyDescent="0.35">
      <c r="K691" s="8"/>
      <c r="L691" s="8"/>
      <c r="M691" s="8"/>
    </row>
    <row r="692" spans="11:13" ht="15.5" x14ac:dyDescent="0.35">
      <c r="K692" s="8"/>
      <c r="L692" s="8"/>
      <c r="M692" s="8"/>
    </row>
    <row r="693" spans="11:13" ht="15.5" x14ac:dyDescent="0.35">
      <c r="K693" s="8"/>
      <c r="L693" s="8"/>
      <c r="M693" s="8"/>
    </row>
    <row r="694" spans="11:13" ht="15.5" x14ac:dyDescent="0.35">
      <c r="K694" s="8"/>
      <c r="L694" s="8"/>
      <c r="M694" s="8"/>
    </row>
    <row r="695" spans="11:13" ht="15.5" x14ac:dyDescent="0.35">
      <c r="K695" s="8"/>
      <c r="L695" s="8"/>
      <c r="M695" s="8"/>
    </row>
    <row r="696" spans="11:13" ht="15.5" x14ac:dyDescent="0.35">
      <c r="K696" s="8"/>
      <c r="L696" s="8"/>
      <c r="M696" s="8"/>
    </row>
    <row r="697" spans="11:13" ht="15.5" x14ac:dyDescent="0.35">
      <c r="K697" s="8"/>
      <c r="L697" s="8"/>
      <c r="M697" s="8"/>
    </row>
    <row r="698" spans="11:13" ht="15.5" x14ac:dyDescent="0.35">
      <c r="K698" s="8"/>
      <c r="L698" s="8"/>
      <c r="M698" s="8"/>
    </row>
    <row r="699" spans="11:13" ht="15.5" x14ac:dyDescent="0.35">
      <c r="K699" s="8"/>
      <c r="L699" s="8"/>
      <c r="M699" s="8"/>
    </row>
    <row r="700" spans="11:13" ht="15.5" x14ac:dyDescent="0.35">
      <c r="K700" s="8"/>
      <c r="L700" s="8"/>
      <c r="M700" s="8"/>
    </row>
    <row r="701" spans="11:13" ht="15.5" x14ac:dyDescent="0.35">
      <c r="K701" s="8"/>
      <c r="L701" s="8"/>
      <c r="M701" s="8"/>
    </row>
    <row r="702" spans="11:13" ht="15.5" x14ac:dyDescent="0.35">
      <c r="K702" s="8"/>
      <c r="L702" s="8"/>
      <c r="M702" s="8"/>
    </row>
    <row r="703" spans="11:13" ht="15.5" x14ac:dyDescent="0.35">
      <c r="K703" s="8"/>
      <c r="L703" s="8"/>
      <c r="M703" s="8"/>
    </row>
    <row r="704" spans="11:13" ht="15.5" x14ac:dyDescent="0.35">
      <c r="K704" s="8"/>
      <c r="L704" s="8"/>
      <c r="M704" s="8"/>
    </row>
    <row r="705" spans="11:13" ht="15.5" x14ac:dyDescent="0.35">
      <c r="K705" s="8"/>
      <c r="L705" s="8"/>
      <c r="M705" s="8"/>
    </row>
    <row r="706" spans="11:13" ht="15.5" x14ac:dyDescent="0.35">
      <c r="K706" s="8"/>
      <c r="L706" s="8"/>
      <c r="M706" s="8"/>
    </row>
    <row r="707" spans="11:13" ht="15.5" x14ac:dyDescent="0.35">
      <c r="K707" s="8"/>
      <c r="L707" s="8"/>
      <c r="M707" s="8"/>
    </row>
    <row r="708" spans="11:13" ht="15.5" x14ac:dyDescent="0.35">
      <c r="K708" s="8"/>
      <c r="L708" s="8"/>
      <c r="M708" s="8"/>
    </row>
    <row r="709" spans="11:13" ht="15.5" x14ac:dyDescent="0.35">
      <c r="K709" s="8"/>
      <c r="L709" s="8"/>
      <c r="M709" s="8"/>
    </row>
    <row r="710" spans="11:13" ht="15.5" x14ac:dyDescent="0.35">
      <c r="K710" s="8"/>
      <c r="L710" s="8"/>
      <c r="M710" s="8"/>
    </row>
    <row r="711" spans="11:13" ht="15.5" x14ac:dyDescent="0.35">
      <c r="K711" s="8"/>
      <c r="L711" s="8"/>
      <c r="M711" s="8"/>
    </row>
    <row r="712" spans="11:13" ht="15.5" x14ac:dyDescent="0.35">
      <c r="K712" s="8"/>
      <c r="L712" s="8"/>
      <c r="M712" s="8"/>
    </row>
    <row r="713" spans="11:13" ht="15.5" x14ac:dyDescent="0.35">
      <c r="K713" s="8"/>
      <c r="L713" s="8"/>
      <c r="M713" s="8"/>
    </row>
    <row r="714" spans="11:13" ht="15.5" x14ac:dyDescent="0.35">
      <c r="K714" s="8"/>
      <c r="L714" s="8"/>
      <c r="M714" s="8"/>
    </row>
    <row r="715" spans="11:13" ht="15.5" x14ac:dyDescent="0.35">
      <c r="K715" s="8"/>
      <c r="L715" s="8"/>
      <c r="M715" s="8"/>
    </row>
    <row r="716" spans="11:13" ht="15.5" x14ac:dyDescent="0.35">
      <c r="K716" s="8"/>
      <c r="L716" s="8"/>
      <c r="M716" s="8"/>
    </row>
    <row r="717" spans="11:13" ht="15.5" x14ac:dyDescent="0.35">
      <c r="K717" s="8"/>
      <c r="L717" s="8"/>
      <c r="M717" s="8"/>
    </row>
    <row r="718" spans="11:13" ht="15.5" x14ac:dyDescent="0.35">
      <c r="K718" s="8"/>
      <c r="L718" s="8"/>
      <c r="M718" s="8"/>
    </row>
    <row r="719" spans="11:13" ht="15.5" x14ac:dyDescent="0.35">
      <c r="K719" s="8"/>
      <c r="L719" s="8"/>
      <c r="M719" s="8"/>
    </row>
    <row r="720" spans="11:13" ht="15.5" x14ac:dyDescent="0.35">
      <c r="K720" s="8"/>
      <c r="L720" s="8"/>
      <c r="M720" s="8"/>
    </row>
    <row r="721" spans="11:13" ht="15.5" x14ac:dyDescent="0.35">
      <c r="K721" s="8"/>
      <c r="L721" s="8"/>
      <c r="M721" s="8"/>
    </row>
    <row r="722" spans="11:13" ht="15.5" x14ac:dyDescent="0.35">
      <c r="K722" s="8"/>
      <c r="L722" s="8"/>
      <c r="M722" s="8"/>
    </row>
    <row r="723" spans="11:13" ht="15.5" x14ac:dyDescent="0.35">
      <c r="K723" s="8"/>
      <c r="L723" s="8"/>
      <c r="M723" s="8"/>
    </row>
    <row r="724" spans="11:13" ht="15.5" x14ac:dyDescent="0.35">
      <c r="K724" s="8"/>
      <c r="L724" s="8"/>
      <c r="M724" s="8"/>
    </row>
    <row r="725" spans="11:13" ht="15.5" x14ac:dyDescent="0.35">
      <c r="K725" s="8"/>
      <c r="L725" s="8"/>
      <c r="M725" s="8"/>
    </row>
    <row r="726" spans="11:13" ht="15.5" x14ac:dyDescent="0.35">
      <c r="K726" s="8"/>
      <c r="L726" s="8"/>
      <c r="M726" s="8"/>
    </row>
    <row r="727" spans="11:13" ht="15.5" x14ac:dyDescent="0.35">
      <c r="K727" s="8"/>
      <c r="L727" s="8"/>
      <c r="M727" s="8"/>
    </row>
    <row r="728" spans="11:13" ht="15.5" x14ac:dyDescent="0.35">
      <c r="K728" s="8"/>
      <c r="L728" s="8"/>
      <c r="M728" s="8"/>
    </row>
    <row r="729" spans="11:13" ht="15.5" x14ac:dyDescent="0.35">
      <c r="K729" s="8"/>
      <c r="L729" s="8"/>
      <c r="M729" s="8"/>
    </row>
    <row r="730" spans="11:13" ht="15.5" x14ac:dyDescent="0.35">
      <c r="K730" s="8"/>
      <c r="L730" s="8"/>
      <c r="M730" s="8"/>
    </row>
    <row r="731" spans="11:13" ht="15.5" x14ac:dyDescent="0.35">
      <c r="K731" s="8"/>
      <c r="L731" s="8"/>
      <c r="M731" s="8"/>
    </row>
    <row r="732" spans="11:13" ht="15.5" x14ac:dyDescent="0.35">
      <c r="K732" s="8"/>
      <c r="L732" s="8"/>
      <c r="M732" s="8"/>
    </row>
    <row r="733" spans="11:13" ht="15.5" x14ac:dyDescent="0.35">
      <c r="K733" s="8"/>
      <c r="L733" s="8"/>
      <c r="M733" s="8"/>
    </row>
    <row r="734" spans="11:13" ht="15.5" x14ac:dyDescent="0.35">
      <c r="K734" s="8"/>
      <c r="L734" s="8"/>
      <c r="M734" s="8"/>
    </row>
    <row r="735" spans="11:13" ht="15.5" x14ac:dyDescent="0.35">
      <c r="K735" s="8"/>
      <c r="L735" s="8"/>
      <c r="M735" s="8"/>
    </row>
    <row r="736" spans="11:13" ht="15.5" x14ac:dyDescent="0.35">
      <c r="K736" s="8"/>
      <c r="L736" s="8"/>
      <c r="M736" s="8"/>
    </row>
    <row r="737" spans="11:13" ht="15.5" x14ac:dyDescent="0.35">
      <c r="K737" s="8"/>
      <c r="L737" s="8"/>
      <c r="M737" s="8"/>
    </row>
    <row r="738" spans="11:13" ht="15.5" x14ac:dyDescent="0.35">
      <c r="K738" s="8"/>
      <c r="L738" s="8"/>
      <c r="M738" s="8"/>
    </row>
    <row r="739" spans="11:13" ht="15.5" x14ac:dyDescent="0.35">
      <c r="K739" s="8"/>
      <c r="L739" s="8"/>
      <c r="M739" s="8"/>
    </row>
    <row r="740" spans="11:13" ht="15.5" x14ac:dyDescent="0.35">
      <c r="K740" s="8"/>
      <c r="L740" s="8"/>
      <c r="M740" s="8"/>
    </row>
    <row r="741" spans="11:13" ht="15.5" x14ac:dyDescent="0.35">
      <c r="K741" s="8"/>
      <c r="L741" s="8"/>
      <c r="M741" s="8"/>
    </row>
    <row r="742" spans="11:13" ht="15.5" x14ac:dyDescent="0.35">
      <c r="K742" s="8"/>
      <c r="L742" s="8"/>
      <c r="M742" s="8"/>
    </row>
    <row r="743" spans="11:13" ht="15.5" x14ac:dyDescent="0.35">
      <c r="K743" s="8"/>
      <c r="L743" s="8"/>
      <c r="M743" s="8"/>
    </row>
    <row r="744" spans="11:13" ht="15.5" x14ac:dyDescent="0.35">
      <c r="K744" s="8"/>
      <c r="L744" s="8"/>
      <c r="M744" s="8"/>
    </row>
    <row r="745" spans="11:13" ht="15.5" x14ac:dyDescent="0.35">
      <c r="K745" s="8"/>
      <c r="L745" s="8"/>
      <c r="M745" s="8"/>
    </row>
    <row r="746" spans="11:13" ht="15.5" x14ac:dyDescent="0.35">
      <c r="K746" s="8"/>
      <c r="L746" s="8"/>
      <c r="M746" s="8"/>
    </row>
    <row r="747" spans="11:13" ht="15.5" x14ac:dyDescent="0.35">
      <c r="K747" s="8"/>
      <c r="L747" s="8"/>
      <c r="M747" s="8"/>
    </row>
    <row r="748" spans="11:13" ht="15.5" x14ac:dyDescent="0.35">
      <c r="K748" s="8"/>
      <c r="L748" s="8"/>
      <c r="M748" s="8"/>
    </row>
    <row r="749" spans="11:13" ht="15.5" x14ac:dyDescent="0.35">
      <c r="K749" s="8"/>
      <c r="L749" s="8"/>
      <c r="M749" s="8"/>
    </row>
    <row r="750" spans="11:13" ht="15.5" x14ac:dyDescent="0.35">
      <c r="K750" s="8"/>
      <c r="L750" s="8"/>
      <c r="M750" s="8"/>
    </row>
    <row r="751" spans="11:13" ht="15.5" x14ac:dyDescent="0.35">
      <c r="K751" s="8"/>
      <c r="L751" s="8"/>
      <c r="M751" s="8"/>
    </row>
    <row r="752" spans="11:13" ht="15.5" x14ac:dyDescent="0.35">
      <c r="K752" s="8"/>
      <c r="L752" s="8"/>
      <c r="M752" s="8"/>
    </row>
    <row r="753" spans="11:13" ht="15.5" x14ac:dyDescent="0.35">
      <c r="K753" s="8"/>
      <c r="L753" s="8"/>
      <c r="M753" s="8"/>
    </row>
    <row r="754" spans="11:13" ht="15.5" x14ac:dyDescent="0.35">
      <c r="K754" s="8"/>
      <c r="L754" s="8"/>
      <c r="M754" s="8"/>
    </row>
    <row r="755" spans="11:13" ht="15.5" x14ac:dyDescent="0.35">
      <c r="K755" s="8"/>
      <c r="L755" s="8"/>
      <c r="M755" s="8"/>
    </row>
    <row r="756" spans="11:13" ht="15.5" x14ac:dyDescent="0.35">
      <c r="K756" s="8"/>
      <c r="L756" s="8"/>
      <c r="M756" s="8"/>
    </row>
    <row r="757" spans="11:13" ht="15.5" x14ac:dyDescent="0.35">
      <c r="K757" s="8"/>
      <c r="L757" s="8"/>
      <c r="M757" s="8"/>
    </row>
    <row r="758" spans="11:13" ht="15.5" x14ac:dyDescent="0.35">
      <c r="K758" s="8"/>
      <c r="L758" s="8"/>
      <c r="M758" s="8"/>
    </row>
    <row r="759" spans="11:13" ht="15.5" x14ac:dyDescent="0.35">
      <c r="K759" s="8"/>
      <c r="L759" s="8"/>
      <c r="M759" s="8"/>
    </row>
    <row r="760" spans="11:13" ht="15.5" x14ac:dyDescent="0.35">
      <c r="K760" s="8"/>
      <c r="L760" s="8"/>
      <c r="M760" s="8"/>
    </row>
    <row r="761" spans="11:13" ht="15.5" x14ac:dyDescent="0.35">
      <c r="K761" s="8"/>
      <c r="L761" s="8"/>
      <c r="M761" s="8"/>
    </row>
    <row r="762" spans="11:13" ht="15.5" x14ac:dyDescent="0.35">
      <c r="K762" s="8"/>
      <c r="L762" s="8"/>
      <c r="M762" s="8"/>
    </row>
    <row r="763" spans="11:13" ht="15.5" x14ac:dyDescent="0.35">
      <c r="K763" s="8"/>
      <c r="L763" s="8"/>
      <c r="M763" s="8"/>
    </row>
    <row r="764" spans="11:13" ht="15.5" x14ac:dyDescent="0.35">
      <c r="K764" s="8"/>
      <c r="L764" s="8"/>
      <c r="M764" s="8"/>
    </row>
    <row r="765" spans="11:13" ht="15.5" x14ac:dyDescent="0.35">
      <c r="K765" s="8"/>
      <c r="L765" s="8"/>
      <c r="M765" s="8"/>
    </row>
    <row r="766" spans="11:13" ht="15.5" x14ac:dyDescent="0.35">
      <c r="K766" s="8"/>
      <c r="L766" s="8"/>
      <c r="M766" s="8"/>
    </row>
    <row r="767" spans="11:13" ht="15.5" x14ac:dyDescent="0.35">
      <c r="K767" s="8"/>
      <c r="L767" s="8"/>
      <c r="M767" s="8"/>
    </row>
    <row r="768" spans="11:13" ht="15.5" x14ac:dyDescent="0.35">
      <c r="K768" s="8"/>
      <c r="L768" s="8"/>
      <c r="M768" s="8"/>
    </row>
    <row r="769" spans="11:13" ht="15.5" x14ac:dyDescent="0.35">
      <c r="K769" s="8"/>
      <c r="L769" s="8"/>
      <c r="M769" s="8"/>
    </row>
    <row r="770" spans="11:13" ht="15.5" x14ac:dyDescent="0.35">
      <c r="K770" s="8"/>
      <c r="L770" s="8"/>
      <c r="M770" s="8"/>
    </row>
    <row r="771" spans="11:13" ht="15.5" x14ac:dyDescent="0.35">
      <c r="K771" s="8"/>
      <c r="L771" s="8"/>
      <c r="M771" s="8"/>
    </row>
    <row r="772" spans="11:13" ht="15.5" x14ac:dyDescent="0.35">
      <c r="K772" s="8"/>
      <c r="L772" s="8"/>
      <c r="M772" s="8"/>
    </row>
    <row r="773" spans="11:13" ht="15.5" x14ac:dyDescent="0.35">
      <c r="K773" s="8"/>
      <c r="L773" s="8"/>
      <c r="M773" s="8"/>
    </row>
    <row r="774" spans="11:13" ht="15.5" x14ac:dyDescent="0.35">
      <c r="K774" s="8"/>
      <c r="L774" s="8"/>
      <c r="M774" s="8"/>
    </row>
    <row r="775" spans="11:13" ht="15.5" x14ac:dyDescent="0.35">
      <c r="K775" s="8"/>
      <c r="L775" s="8"/>
      <c r="M775" s="8"/>
    </row>
    <row r="776" spans="11:13" ht="15.5" x14ac:dyDescent="0.35">
      <c r="K776" s="8"/>
      <c r="L776" s="8"/>
      <c r="M776" s="8"/>
    </row>
    <row r="777" spans="11:13" ht="15.5" x14ac:dyDescent="0.35">
      <c r="K777" s="8"/>
      <c r="L777" s="8"/>
      <c r="M777" s="8"/>
    </row>
    <row r="778" spans="11:13" ht="15.5" x14ac:dyDescent="0.35">
      <c r="K778" s="8"/>
      <c r="L778" s="8"/>
      <c r="M778" s="8"/>
    </row>
    <row r="779" spans="11:13" ht="15.5" x14ac:dyDescent="0.35">
      <c r="K779" s="8"/>
      <c r="L779" s="8"/>
      <c r="M779" s="8"/>
    </row>
    <row r="780" spans="11:13" ht="15.5" x14ac:dyDescent="0.35">
      <c r="K780" s="8"/>
      <c r="L780" s="8"/>
      <c r="M780" s="8"/>
    </row>
    <row r="781" spans="11:13" ht="15.5" x14ac:dyDescent="0.35">
      <c r="K781" s="8"/>
      <c r="L781" s="8"/>
      <c r="M781" s="8"/>
    </row>
    <row r="782" spans="11:13" ht="15.5" x14ac:dyDescent="0.35">
      <c r="K782" s="8"/>
      <c r="L782" s="8"/>
      <c r="M782" s="8"/>
    </row>
    <row r="783" spans="11:13" ht="15.5" x14ac:dyDescent="0.35">
      <c r="K783" s="8"/>
      <c r="L783" s="8"/>
      <c r="M783" s="8"/>
    </row>
    <row r="784" spans="11:13" ht="15.5" x14ac:dyDescent="0.35">
      <c r="K784" s="8"/>
      <c r="L784" s="8"/>
      <c r="M784" s="8"/>
    </row>
    <row r="785" spans="11:13" ht="15.5" x14ac:dyDescent="0.35">
      <c r="K785" s="8"/>
      <c r="L785" s="8"/>
      <c r="M785" s="8"/>
    </row>
    <row r="786" spans="11:13" ht="15.5" x14ac:dyDescent="0.35">
      <c r="K786" s="8"/>
      <c r="L786" s="8"/>
      <c r="M786" s="8"/>
    </row>
    <row r="787" spans="11:13" ht="15.5" x14ac:dyDescent="0.35">
      <c r="K787" s="8"/>
      <c r="L787" s="8"/>
      <c r="M787" s="8"/>
    </row>
    <row r="788" spans="11:13" ht="15.5" x14ac:dyDescent="0.35">
      <c r="K788" s="8"/>
      <c r="L788" s="8"/>
      <c r="M788" s="8"/>
    </row>
    <row r="789" spans="11:13" ht="15.5" x14ac:dyDescent="0.35">
      <c r="K789" s="8"/>
      <c r="L789" s="8"/>
      <c r="M789" s="8"/>
    </row>
    <row r="790" spans="11:13" ht="15.5" x14ac:dyDescent="0.35">
      <c r="K790" s="8"/>
      <c r="L790" s="8"/>
      <c r="M790" s="8"/>
    </row>
    <row r="791" spans="11:13" ht="15.5" x14ac:dyDescent="0.35">
      <c r="K791" s="8"/>
      <c r="L791" s="8"/>
      <c r="M791" s="8"/>
    </row>
    <row r="792" spans="11:13" ht="15.5" x14ac:dyDescent="0.35">
      <c r="K792" s="8"/>
      <c r="L792" s="8"/>
      <c r="M792" s="8"/>
    </row>
    <row r="793" spans="11:13" ht="15.5" x14ac:dyDescent="0.35">
      <c r="K793" s="8"/>
      <c r="L793" s="8"/>
      <c r="M793" s="8"/>
    </row>
    <row r="794" spans="11:13" ht="15.5" x14ac:dyDescent="0.35">
      <c r="K794" s="8"/>
      <c r="L794" s="8"/>
      <c r="M794" s="8"/>
    </row>
    <row r="795" spans="11:13" ht="15.5" x14ac:dyDescent="0.35">
      <c r="K795" s="8"/>
      <c r="L795" s="8"/>
      <c r="M795" s="8"/>
    </row>
    <row r="796" spans="11:13" ht="15.5" x14ac:dyDescent="0.35">
      <c r="K796" s="8"/>
      <c r="L796" s="8"/>
      <c r="M796" s="8"/>
    </row>
    <row r="797" spans="11:13" ht="15.5" x14ac:dyDescent="0.35">
      <c r="K797" s="8"/>
      <c r="L797" s="8"/>
      <c r="M797" s="8"/>
    </row>
    <row r="798" spans="11:13" ht="15.5" x14ac:dyDescent="0.35">
      <c r="K798" s="8"/>
      <c r="L798" s="8"/>
      <c r="M798" s="8"/>
    </row>
    <row r="799" spans="11:13" ht="15.5" x14ac:dyDescent="0.35">
      <c r="K799" s="8"/>
      <c r="L799" s="8"/>
      <c r="M799" s="8"/>
    </row>
    <row r="800" spans="11:13" ht="15.5" x14ac:dyDescent="0.35">
      <c r="K800" s="8"/>
      <c r="L800" s="8"/>
      <c r="M800" s="8"/>
    </row>
    <row r="801" spans="11:13" ht="15.5" x14ac:dyDescent="0.35">
      <c r="K801" s="8"/>
      <c r="L801" s="8"/>
      <c r="M801" s="8"/>
    </row>
    <row r="802" spans="11:13" ht="15.5" x14ac:dyDescent="0.35">
      <c r="K802" s="8"/>
      <c r="L802" s="8"/>
      <c r="M802" s="8"/>
    </row>
    <row r="803" spans="11:13" ht="15.5" x14ac:dyDescent="0.35">
      <c r="K803" s="8"/>
      <c r="L803" s="8"/>
      <c r="M803" s="8"/>
    </row>
    <row r="804" spans="11:13" ht="15.5" x14ac:dyDescent="0.35">
      <c r="K804" s="8"/>
      <c r="L804" s="8"/>
      <c r="M804" s="8"/>
    </row>
    <row r="805" spans="11:13" ht="15.5" x14ac:dyDescent="0.35">
      <c r="K805" s="8"/>
      <c r="L805" s="8"/>
      <c r="M805" s="8"/>
    </row>
    <row r="806" spans="11:13" ht="15.5" x14ac:dyDescent="0.35">
      <c r="K806" s="8"/>
      <c r="L806" s="8"/>
      <c r="M806" s="8"/>
    </row>
    <row r="807" spans="11:13" ht="15.5" x14ac:dyDescent="0.35">
      <c r="K807" s="8"/>
      <c r="L807" s="8"/>
      <c r="M807" s="8"/>
    </row>
    <row r="808" spans="11:13" ht="15.5" x14ac:dyDescent="0.35">
      <c r="K808" s="8"/>
      <c r="L808" s="8"/>
      <c r="M808" s="8"/>
    </row>
    <row r="809" spans="11:13" ht="15.5" x14ac:dyDescent="0.35">
      <c r="K809" s="8"/>
      <c r="L809" s="8"/>
      <c r="M809" s="8"/>
    </row>
    <row r="810" spans="11:13" ht="15.5" x14ac:dyDescent="0.35">
      <c r="K810" s="8"/>
      <c r="L810" s="8"/>
      <c r="M810" s="8"/>
    </row>
    <row r="811" spans="11:13" ht="15.5" x14ac:dyDescent="0.35">
      <c r="K811" s="8"/>
      <c r="L811" s="8"/>
      <c r="M811" s="8"/>
    </row>
    <row r="812" spans="11:13" ht="15.5" x14ac:dyDescent="0.35">
      <c r="K812" s="8"/>
      <c r="L812" s="8"/>
      <c r="M812" s="8"/>
    </row>
    <row r="813" spans="11:13" ht="15.5" x14ac:dyDescent="0.35">
      <c r="K813" s="8"/>
      <c r="L813" s="8"/>
      <c r="M813" s="8"/>
    </row>
    <row r="814" spans="11:13" ht="15.5" x14ac:dyDescent="0.35">
      <c r="K814" s="8"/>
      <c r="L814" s="8"/>
      <c r="M814" s="8"/>
    </row>
    <row r="815" spans="11:13" ht="15.5" x14ac:dyDescent="0.35">
      <c r="K815" s="8"/>
      <c r="L815" s="8"/>
      <c r="M815" s="8"/>
    </row>
    <row r="816" spans="11:13" ht="15.5" x14ac:dyDescent="0.35">
      <c r="K816" s="8"/>
      <c r="L816" s="8"/>
      <c r="M816" s="8"/>
    </row>
    <row r="817" spans="11:13" ht="15.5" x14ac:dyDescent="0.35">
      <c r="K817" s="8"/>
      <c r="L817" s="8"/>
      <c r="M817" s="8"/>
    </row>
    <row r="818" spans="11:13" ht="15.5" x14ac:dyDescent="0.35">
      <c r="K818" s="8"/>
      <c r="L818" s="8"/>
      <c r="M818" s="8"/>
    </row>
    <row r="819" spans="11:13" ht="15.5" x14ac:dyDescent="0.35">
      <c r="K819" s="8"/>
      <c r="L819" s="8"/>
      <c r="M819" s="8"/>
    </row>
    <row r="820" spans="11:13" ht="15.5" x14ac:dyDescent="0.35">
      <c r="K820" s="8"/>
      <c r="L820" s="8"/>
      <c r="M820" s="8"/>
    </row>
    <row r="821" spans="11:13" ht="15.5" x14ac:dyDescent="0.35">
      <c r="K821" s="8"/>
      <c r="L821" s="8"/>
      <c r="M821" s="8"/>
    </row>
    <row r="822" spans="11:13" ht="15.5" x14ac:dyDescent="0.35">
      <c r="K822" s="8"/>
      <c r="L822" s="8"/>
      <c r="M822" s="8"/>
    </row>
    <row r="823" spans="11:13" ht="15.5" x14ac:dyDescent="0.35">
      <c r="K823" s="8"/>
      <c r="L823" s="8"/>
      <c r="M823" s="8"/>
    </row>
    <row r="824" spans="11:13" ht="15.5" x14ac:dyDescent="0.35">
      <c r="K824" s="8"/>
      <c r="L824" s="8"/>
      <c r="M824" s="8"/>
    </row>
    <row r="825" spans="11:13" ht="15.5" x14ac:dyDescent="0.35">
      <c r="K825" s="8"/>
      <c r="L825" s="8"/>
      <c r="M825" s="8"/>
    </row>
    <row r="826" spans="11:13" ht="15.5" x14ac:dyDescent="0.35">
      <c r="K826" s="8"/>
      <c r="L826" s="8"/>
      <c r="M826" s="8"/>
    </row>
    <row r="827" spans="11:13" ht="15.5" x14ac:dyDescent="0.35">
      <c r="K827" s="8"/>
      <c r="L827" s="8"/>
      <c r="M827" s="8"/>
    </row>
    <row r="828" spans="11:13" ht="15.5" x14ac:dyDescent="0.35">
      <c r="K828" s="8"/>
      <c r="L828" s="8"/>
      <c r="M828" s="8"/>
    </row>
    <row r="829" spans="11:13" ht="15.5" x14ac:dyDescent="0.35">
      <c r="K829" s="8"/>
      <c r="L829" s="8"/>
      <c r="M829" s="8"/>
    </row>
    <row r="830" spans="11:13" ht="15.5" x14ac:dyDescent="0.35">
      <c r="K830" s="8"/>
      <c r="L830" s="8"/>
      <c r="M830" s="8"/>
    </row>
    <row r="831" spans="11:13" ht="15.5" x14ac:dyDescent="0.35">
      <c r="K831" s="8"/>
      <c r="L831" s="8"/>
      <c r="M831" s="8"/>
    </row>
    <row r="832" spans="11:13" ht="15.5" x14ac:dyDescent="0.35">
      <c r="K832" s="8"/>
      <c r="L832" s="8"/>
      <c r="M832" s="8"/>
    </row>
    <row r="833" spans="11:13" ht="15.5" x14ac:dyDescent="0.35">
      <c r="K833" s="8"/>
      <c r="L833" s="8"/>
      <c r="M833" s="8"/>
    </row>
    <row r="834" spans="11:13" ht="15.5" x14ac:dyDescent="0.35">
      <c r="K834" s="8"/>
      <c r="L834" s="8"/>
      <c r="M834" s="8"/>
    </row>
    <row r="835" spans="11:13" ht="15.5" x14ac:dyDescent="0.35">
      <c r="K835" s="8"/>
      <c r="L835" s="8"/>
      <c r="M835" s="8"/>
    </row>
    <row r="836" spans="11:13" ht="15.5" x14ac:dyDescent="0.35">
      <c r="K836" s="8"/>
      <c r="L836" s="8"/>
      <c r="M836" s="8"/>
    </row>
    <row r="837" spans="11:13" ht="15.5" x14ac:dyDescent="0.35">
      <c r="K837" s="8"/>
      <c r="L837" s="8"/>
      <c r="M837" s="8"/>
    </row>
    <row r="838" spans="11:13" ht="15.5" x14ac:dyDescent="0.35">
      <c r="K838" s="8"/>
      <c r="L838" s="8"/>
      <c r="M838" s="8"/>
    </row>
    <row r="839" spans="11:13" ht="15.5" x14ac:dyDescent="0.35">
      <c r="K839" s="8"/>
      <c r="L839" s="8"/>
      <c r="M839" s="8"/>
    </row>
    <row r="840" spans="11:13" ht="15.5" x14ac:dyDescent="0.35">
      <c r="K840" s="8"/>
      <c r="L840" s="8"/>
      <c r="M840" s="8"/>
    </row>
    <row r="841" spans="11:13" ht="15.5" x14ac:dyDescent="0.35">
      <c r="K841" s="8"/>
      <c r="L841" s="8"/>
      <c r="M841" s="8"/>
    </row>
    <row r="842" spans="11:13" ht="15.5" x14ac:dyDescent="0.35">
      <c r="K842" s="8"/>
      <c r="L842" s="8"/>
      <c r="M842" s="8"/>
    </row>
    <row r="843" spans="11:13" ht="15.5" x14ac:dyDescent="0.35">
      <c r="K843" s="8"/>
      <c r="L843" s="8"/>
      <c r="M843" s="8"/>
    </row>
    <row r="844" spans="11:13" ht="15.5" x14ac:dyDescent="0.35">
      <c r="K844" s="8"/>
      <c r="L844" s="8"/>
      <c r="M844" s="8"/>
    </row>
    <row r="845" spans="11:13" ht="15.5" x14ac:dyDescent="0.35">
      <c r="K845" s="8"/>
      <c r="L845" s="8"/>
      <c r="M845" s="8"/>
    </row>
    <row r="846" spans="11:13" ht="15.5" x14ac:dyDescent="0.35">
      <c r="K846" s="8"/>
      <c r="L846" s="8"/>
      <c r="M846" s="8"/>
    </row>
    <row r="847" spans="11:13" ht="15.5" x14ac:dyDescent="0.35">
      <c r="K847" s="8"/>
      <c r="L847" s="8"/>
      <c r="M847" s="8"/>
    </row>
    <row r="848" spans="11:13" ht="15.5" x14ac:dyDescent="0.35">
      <c r="K848" s="8"/>
      <c r="L848" s="8"/>
      <c r="M848" s="8"/>
    </row>
    <row r="849" spans="11:13" ht="15.5" x14ac:dyDescent="0.35">
      <c r="K849" s="8"/>
      <c r="L849" s="8"/>
      <c r="M849" s="8"/>
    </row>
    <row r="850" spans="11:13" ht="15.5" x14ac:dyDescent="0.35">
      <c r="K850" s="8"/>
      <c r="L850" s="8"/>
      <c r="M850" s="8"/>
    </row>
    <row r="851" spans="11:13" ht="15.5" x14ac:dyDescent="0.35">
      <c r="K851" s="8"/>
      <c r="L851" s="8"/>
      <c r="M851" s="8"/>
    </row>
    <row r="852" spans="11:13" ht="15.5" x14ac:dyDescent="0.35">
      <c r="K852" s="8"/>
      <c r="L852" s="8"/>
      <c r="M852" s="8"/>
    </row>
    <row r="853" spans="11:13" ht="15.5" x14ac:dyDescent="0.35">
      <c r="K853" s="8"/>
      <c r="L853" s="8"/>
      <c r="M853" s="8"/>
    </row>
    <row r="854" spans="11:13" ht="15.5" x14ac:dyDescent="0.35">
      <c r="K854" s="8"/>
      <c r="L854" s="8"/>
      <c r="M854" s="8"/>
    </row>
    <row r="855" spans="11:13" ht="15.5" x14ac:dyDescent="0.35">
      <c r="K855" s="8"/>
      <c r="L855" s="8"/>
      <c r="M855" s="8"/>
    </row>
    <row r="856" spans="11:13" ht="15.5" x14ac:dyDescent="0.35">
      <c r="K856" s="8"/>
      <c r="L856" s="8"/>
      <c r="M856" s="8"/>
    </row>
    <row r="857" spans="11:13" ht="15.5" x14ac:dyDescent="0.35">
      <c r="K857" s="8"/>
      <c r="L857" s="8"/>
      <c r="M857" s="8"/>
    </row>
    <row r="858" spans="11:13" ht="15.5" x14ac:dyDescent="0.35">
      <c r="K858" s="8"/>
      <c r="L858" s="8"/>
      <c r="M858" s="8"/>
    </row>
    <row r="859" spans="11:13" ht="15.5" x14ac:dyDescent="0.35">
      <c r="K859" s="8"/>
      <c r="L859" s="8"/>
      <c r="M859" s="8"/>
    </row>
    <row r="860" spans="11:13" ht="15.5" x14ac:dyDescent="0.35">
      <c r="K860" s="8"/>
      <c r="L860" s="8"/>
      <c r="M860" s="8"/>
    </row>
    <row r="861" spans="11:13" ht="15.5" x14ac:dyDescent="0.35">
      <c r="K861" s="8"/>
      <c r="L861" s="8"/>
      <c r="M861" s="8"/>
    </row>
    <row r="862" spans="11:13" ht="15.5" x14ac:dyDescent="0.35">
      <c r="K862" s="8"/>
      <c r="L862" s="8"/>
      <c r="M862" s="8"/>
    </row>
    <row r="863" spans="11:13" ht="15.5" x14ac:dyDescent="0.35">
      <c r="K863" s="8"/>
      <c r="L863" s="8"/>
      <c r="M863" s="8"/>
    </row>
    <row r="864" spans="11:13" ht="15.5" x14ac:dyDescent="0.35">
      <c r="K864" s="8"/>
      <c r="L864" s="8"/>
      <c r="M864" s="8"/>
    </row>
    <row r="865" spans="11:13" ht="15.5" x14ac:dyDescent="0.35">
      <c r="K865" s="8"/>
      <c r="L865" s="8"/>
      <c r="M865" s="8"/>
    </row>
    <row r="866" spans="11:13" ht="15.5" x14ac:dyDescent="0.35">
      <c r="K866" s="8"/>
      <c r="L866" s="8"/>
      <c r="M866" s="8"/>
    </row>
    <row r="867" spans="11:13" ht="15.5" x14ac:dyDescent="0.35">
      <c r="K867" s="8"/>
      <c r="L867" s="8"/>
      <c r="M867" s="8"/>
    </row>
    <row r="868" spans="11:13" ht="15.5" x14ac:dyDescent="0.35">
      <c r="K868" s="8"/>
      <c r="L868" s="8"/>
      <c r="M868" s="8"/>
    </row>
    <row r="869" spans="11:13" ht="15.5" x14ac:dyDescent="0.35">
      <c r="K869" s="8"/>
      <c r="L869" s="8"/>
      <c r="M869" s="8"/>
    </row>
    <row r="870" spans="11:13" ht="15.5" x14ac:dyDescent="0.35">
      <c r="K870" s="8"/>
      <c r="L870" s="8"/>
      <c r="M870" s="8"/>
    </row>
    <row r="871" spans="11:13" ht="15.5" x14ac:dyDescent="0.35">
      <c r="K871" s="8"/>
      <c r="L871" s="8"/>
      <c r="M871" s="8"/>
    </row>
    <row r="872" spans="11:13" ht="15.5" x14ac:dyDescent="0.35">
      <c r="K872" s="8"/>
      <c r="L872" s="8"/>
      <c r="M872" s="8"/>
    </row>
    <row r="873" spans="11:13" ht="15.5" x14ac:dyDescent="0.35">
      <c r="K873" s="8"/>
      <c r="L873" s="8"/>
      <c r="M873" s="8"/>
    </row>
    <row r="874" spans="11:13" ht="15.5" x14ac:dyDescent="0.35">
      <c r="K874" s="8"/>
      <c r="L874" s="8"/>
      <c r="M874" s="8"/>
    </row>
    <row r="875" spans="11:13" ht="15.5" x14ac:dyDescent="0.35">
      <c r="K875" s="8"/>
      <c r="L875" s="8"/>
      <c r="M875" s="8"/>
    </row>
    <row r="876" spans="11:13" ht="15.5" x14ac:dyDescent="0.35">
      <c r="K876" s="8"/>
      <c r="L876" s="8"/>
      <c r="M876" s="8"/>
    </row>
    <row r="877" spans="11:13" ht="15.5" x14ac:dyDescent="0.35">
      <c r="K877" s="8"/>
      <c r="L877" s="8"/>
      <c r="M877" s="8"/>
    </row>
    <row r="878" spans="11:13" ht="15.5" x14ac:dyDescent="0.35">
      <c r="K878" s="8"/>
      <c r="L878" s="8"/>
      <c r="M878" s="8"/>
    </row>
    <row r="879" spans="11:13" ht="15.5" x14ac:dyDescent="0.35">
      <c r="K879" s="8"/>
      <c r="L879" s="8"/>
      <c r="M879" s="8"/>
    </row>
    <row r="880" spans="11:13" ht="15.5" x14ac:dyDescent="0.35">
      <c r="K880" s="8"/>
      <c r="L880" s="8"/>
      <c r="M880" s="8"/>
    </row>
    <row r="881" spans="11:13" ht="15.5" x14ac:dyDescent="0.35">
      <c r="K881" s="8"/>
      <c r="L881" s="8"/>
      <c r="M881" s="8"/>
    </row>
    <row r="882" spans="11:13" ht="15.5" x14ac:dyDescent="0.35">
      <c r="K882" s="8"/>
      <c r="L882" s="8"/>
      <c r="M882" s="8"/>
    </row>
    <row r="883" spans="11:13" ht="15.5" x14ac:dyDescent="0.35">
      <c r="K883" s="8"/>
      <c r="L883" s="8"/>
      <c r="M883" s="8"/>
    </row>
    <row r="884" spans="11:13" ht="15.5" x14ac:dyDescent="0.35">
      <c r="K884" s="8"/>
      <c r="L884" s="8"/>
      <c r="M884" s="8"/>
    </row>
    <row r="885" spans="11:13" ht="15.5" x14ac:dyDescent="0.35">
      <c r="K885" s="8"/>
      <c r="L885" s="8"/>
      <c r="M885" s="8"/>
    </row>
    <row r="886" spans="11:13" ht="15.5" x14ac:dyDescent="0.35">
      <c r="K886" s="8"/>
      <c r="L886" s="8"/>
      <c r="M886" s="8"/>
    </row>
    <row r="887" spans="11:13" ht="15.5" x14ac:dyDescent="0.35">
      <c r="K887" s="8"/>
      <c r="L887" s="8"/>
      <c r="M887" s="8"/>
    </row>
    <row r="888" spans="11:13" ht="15.5" x14ac:dyDescent="0.35">
      <c r="K888" s="8"/>
      <c r="L888" s="8"/>
      <c r="M888" s="8"/>
    </row>
    <row r="889" spans="11:13" ht="15.5" x14ac:dyDescent="0.35">
      <c r="K889" s="8"/>
      <c r="L889" s="8"/>
      <c r="M889" s="8"/>
    </row>
    <row r="890" spans="11:13" ht="15.5" x14ac:dyDescent="0.35">
      <c r="K890" s="8"/>
      <c r="L890" s="8"/>
      <c r="M890" s="8"/>
    </row>
    <row r="891" spans="11:13" ht="15.5" x14ac:dyDescent="0.35">
      <c r="K891" s="8"/>
      <c r="L891" s="8"/>
      <c r="M891" s="8"/>
    </row>
    <row r="892" spans="11:13" ht="15.5" x14ac:dyDescent="0.35">
      <c r="K892" s="8"/>
      <c r="L892" s="8"/>
      <c r="M892" s="8"/>
    </row>
    <row r="893" spans="11:13" ht="15.5" x14ac:dyDescent="0.35">
      <c r="K893" s="8"/>
      <c r="L893" s="8"/>
      <c r="M893" s="8"/>
    </row>
    <row r="894" spans="11:13" ht="15.5" x14ac:dyDescent="0.35">
      <c r="K894" s="8"/>
      <c r="L894" s="8"/>
      <c r="M894" s="8"/>
    </row>
    <row r="895" spans="11:13" ht="15.5" x14ac:dyDescent="0.35">
      <c r="K895" s="8"/>
      <c r="L895" s="8"/>
      <c r="M895" s="8"/>
    </row>
    <row r="896" spans="11:13" ht="15.5" x14ac:dyDescent="0.35">
      <c r="K896" s="8"/>
      <c r="L896" s="8"/>
      <c r="M896" s="8"/>
    </row>
    <row r="897" spans="11:13" ht="15.5" x14ac:dyDescent="0.35">
      <c r="K897" s="8"/>
      <c r="L897" s="8"/>
      <c r="M897" s="8"/>
    </row>
    <row r="898" spans="11:13" ht="15.5" x14ac:dyDescent="0.35">
      <c r="K898" s="8"/>
      <c r="L898" s="8"/>
      <c r="M898" s="8"/>
    </row>
    <row r="899" spans="11:13" ht="15.5" x14ac:dyDescent="0.35">
      <c r="K899" s="8"/>
      <c r="L899" s="8"/>
      <c r="M899" s="8"/>
    </row>
    <row r="900" spans="11:13" ht="15.5" x14ac:dyDescent="0.35">
      <c r="K900" s="8"/>
      <c r="L900" s="8"/>
      <c r="M900" s="8"/>
    </row>
    <row r="901" spans="11:13" ht="15.5" x14ac:dyDescent="0.35">
      <c r="K901" s="8"/>
      <c r="L901" s="8"/>
      <c r="M901" s="8"/>
    </row>
    <row r="902" spans="11:13" ht="15.5" x14ac:dyDescent="0.35">
      <c r="K902" s="8"/>
      <c r="L902" s="8"/>
      <c r="M902" s="8"/>
    </row>
    <row r="903" spans="11:13" ht="15.5" x14ac:dyDescent="0.35">
      <c r="K903" s="8"/>
      <c r="L903" s="8"/>
      <c r="M903" s="8"/>
    </row>
    <row r="904" spans="11:13" ht="15.5" x14ac:dyDescent="0.35">
      <c r="K904" s="8"/>
      <c r="L904" s="8"/>
      <c r="M904" s="8"/>
    </row>
    <row r="905" spans="11:13" ht="15.5" x14ac:dyDescent="0.35">
      <c r="K905" s="8"/>
      <c r="L905" s="8"/>
      <c r="M905" s="8"/>
    </row>
    <row r="906" spans="11:13" ht="15.5" x14ac:dyDescent="0.35">
      <c r="K906" s="8"/>
      <c r="L906" s="8"/>
      <c r="M906" s="8"/>
    </row>
    <row r="907" spans="11:13" ht="15.5" x14ac:dyDescent="0.35">
      <c r="K907" s="8"/>
      <c r="L907" s="8"/>
      <c r="M907" s="8"/>
    </row>
    <row r="908" spans="11:13" ht="15.5" x14ac:dyDescent="0.35">
      <c r="K908" s="8"/>
      <c r="L908" s="8"/>
      <c r="M908" s="8"/>
    </row>
    <row r="909" spans="11:13" ht="15.5" x14ac:dyDescent="0.35">
      <c r="K909" s="8"/>
      <c r="L909" s="8"/>
      <c r="M909" s="8"/>
    </row>
    <row r="910" spans="11:13" ht="15.5" x14ac:dyDescent="0.35">
      <c r="K910" s="8"/>
      <c r="L910" s="8"/>
      <c r="M910" s="8"/>
    </row>
    <row r="911" spans="11:13" ht="15.5" x14ac:dyDescent="0.35">
      <c r="K911" s="8"/>
      <c r="L911" s="8"/>
      <c r="M911" s="8"/>
    </row>
    <row r="912" spans="11:13" ht="15.5" x14ac:dyDescent="0.35">
      <c r="K912" s="8"/>
      <c r="L912" s="8"/>
      <c r="M912" s="8"/>
    </row>
    <row r="913" spans="11:13" ht="15.5" x14ac:dyDescent="0.35">
      <c r="K913" s="8"/>
      <c r="L913" s="8"/>
      <c r="M913" s="8"/>
    </row>
    <row r="914" spans="11:13" ht="15.5" x14ac:dyDescent="0.35">
      <c r="K914" s="8"/>
      <c r="L914" s="8"/>
      <c r="M914" s="8"/>
    </row>
    <row r="915" spans="11:13" ht="15.5" x14ac:dyDescent="0.35">
      <c r="K915" s="8"/>
      <c r="L915" s="8"/>
      <c r="M915" s="8"/>
    </row>
    <row r="916" spans="11:13" ht="15.5" x14ac:dyDescent="0.35">
      <c r="K916" s="8"/>
      <c r="L916" s="8"/>
      <c r="M916" s="8"/>
    </row>
    <row r="917" spans="11:13" ht="15.5" x14ac:dyDescent="0.35">
      <c r="K917" s="8"/>
      <c r="L917" s="8"/>
      <c r="M917" s="8"/>
    </row>
    <row r="918" spans="11:13" ht="15.5" x14ac:dyDescent="0.35">
      <c r="K918" s="8"/>
      <c r="L918" s="8"/>
      <c r="M918" s="8"/>
    </row>
    <row r="919" spans="11:13" ht="15.5" x14ac:dyDescent="0.35">
      <c r="K919" s="8"/>
      <c r="L919" s="8"/>
      <c r="M919" s="8"/>
    </row>
    <row r="920" spans="11:13" ht="15.5" x14ac:dyDescent="0.35">
      <c r="K920" s="8"/>
      <c r="L920" s="8"/>
      <c r="M920" s="8"/>
    </row>
    <row r="921" spans="11:13" ht="15.5" x14ac:dyDescent="0.35">
      <c r="K921" s="8"/>
      <c r="L921" s="8"/>
      <c r="M921" s="8"/>
    </row>
    <row r="922" spans="11:13" ht="15.5" x14ac:dyDescent="0.35">
      <c r="K922" s="8"/>
      <c r="L922" s="8"/>
      <c r="M922" s="8"/>
    </row>
    <row r="923" spans="11:13" ht="15.5" x14ac:dyDescent="0.35">
      <c r="K923" s="8"/>
      <c r="L923" s="8"/>
      <c r="M923" s="8"/>
    </row>
    <row r="924" spans="11:13" ht="15.5" x14ac:dyDescent="0.35">
      <c r="K924" s="8"/>
      <c r="L924" s="8"/>
      <c r="M924" s="8"/>
    </row>
    <row r="925" spans="11:13" ht="15.5" x14ac:dyDescent="0.35">
      <c r="K925" s="8"/>
      <c r="L925" s="8"/>
      <c r="M925" s="8"/>
    </row>
    <row r="926" spans="11:13" ht="15.5" x14ac:dyDescent="0.35">
      <c r="K926" s="8"/>
      <c r="L926" s="8"/>
      <c r="M926" s="8"/>
    </row>
    <row r="927" spans="11:13" ht="15.5" x14ac:dyDescent="0.35">
      <c r="K927" s="8"/>
      <c r="L927" s="8"/>
      <c r="M927" s="8"/>
    </row>
    <row r="928" spans="11:13" ht="15.5" x14ac:dyDescent="0.35">
      <c r="K928" s="8"/>
      <c r="L928" s="8"/>
      <c r="M928" s="8"/>
    </row>
    <row r="929" spans="11:13" ht="15.5" x14ac:dyDescent="0.35">
      <c r="K929" s="8"/>
      <c r="L929" s="8"/>
      <c r="M929" s="8"/>
    </row>
    <row r="930" spans="11:13" ht="15.5" x14ac:dyDescent="0.35">
      <c r="K930" s="8"/>
      <c r="L930" s="8"/>
      <c r="M930" s="8"/>
    </row>
    <row r="931" spans="11:13" ht="15.5" x14ac:dyDescent="0.35">
      <c r="K931" s="8"/>
      <c r="L931" s="8"/>
      <c r="M931" s="8"/>
    </row>
    <row r="932" spans="11:13" ht="15.5" x14ac:dyDescent="0.35">
      <c r="K932" s="8"/>
      <c r="L932" s="8"/>
      <c r="M932" s="8"/>
    </row>
    <row r="933" spans="11:13" ht="15.5" x14ac:dyDescent="0.35">
      <c r="K933" s="8"/>
      <c r="L933" s="8"/>
      <c r="M933" s="8"/>
    </row>
    <row r="934" spans="11:13" ht="15.5" x14ac:dyDescent="0.35">
      <c r="K934" s="8"/>
      <c r="L934" s="8"/>
      <c r="M934" s="8"/>
    </row>
    <row r="935" spans="11:13" ht="15.5" x14ac:dyDescent="0.35">
      <c r="K935" s="8"/>
      <c r="L935" s="8"/>
      <c r="M935" s="8"/>
    </row>
    <row r="936" spans="11:13" ht="15.5" x14ac:dyDescent="0.35">
      <c r="K936" s="8"/>
      <c r="L936" s="8"/>
      <c r="M936" s="8"/>
    </row>
    <row r="937" spans="11:13" ht="15.5" x14ac:dyDescent="0.35">
      <c r="K937" s="8"/>
      <c r="L937" s="8"/>
      <c r="M937" s="8"/>
    </row>
    <row r="938" spans="11:13" ht="15.5" x14ac:dyDescent="0.35">
      <c r="K938" s="8"/>
      <c r="L938" s="8"/>
      <c r="M938" s="8"/>
    </row>
    <row r="939" spans="11:13" ht="15.5" x14ac:dyDescent="0.35">
      <c r="K939" s="8"/>
      <c r="L939" s="8"/>
      <c r="M939" s="8"/>
    </row>
    <row r="940" spans="11:13" ht="15.5" x14ac:dyDescent="0.35">
      <c r="K940" s="8"/>
      <c r="L940" s="8"/>
      <c r="M940" s="8"/>
    </row>
    <row r="941" spans="11:13" ht="15.5" x14ac:dyDescent="0.35">
      <c r="K941" s="8"/>
      <c r="L941" s="8"/>
      <c r="M941" s="8"/>
    </row>
    <row r="942" spans="11:13" ht="15.5" x14ac:dyDescent="0.35">
      <c r="K942" s="8"/>
      <c r="L942" s="8"/>
      <c r="M942" s="8"/>
    </row>
    <row r="943" spans="11:13" ht="15.5" x14ac:dyDescent="0.35">
      <c r="K943" s="8"/>
      <c r="L943" s="8"/>
      <c r="M943" s="8"/>
    </row>
    <row r="944" spans="11:13" ht="15.5" x14ac:dyDescent="0.35">
      <c r="K944" s="8"/>
      <c r="L944" s="8"/>
      <c r="M944" s="8"/>
    </row>
    <row r="945" spans="11:13" ht="15.5" x14ac:dyDescent="0.35">
      <c r="K945" s="8"/>
      <c r="L945" s="8"/>
      <c r="M945" s="8"/>
    </row>
    <row r="946" spans="11:13" ht="15.5" x14ac:dyDescent="0.35">
      <c r="K946" s="8"/>
      <c r="L946" s="8"/>
      <c r="M946" s="8"/>
    </row>
    <row r="947" spans="11:13" ht="15.5" x14ac:dyDescent="0.35">
      <c r="K947" s="8"/>
      <c r="L947" s="8"/>
      <c r="M947" s="8"/>
    </row>
    <row r="948" spans="11:13" ht="15.5" x14ac:dyDescent="0.35">
      <c r="K948" s="8"/>
      <c r="L948" s="8"/>
      <c r="M948" s="8"/>
    </row>
    <row r="949" spans="11:13" ht="15.5" x14ac:dyDescent="0.35">
      <c r="K949" s="8"/>
      <c r="L949" s="8"/>
      <c r="M949" s="8"/>
    </row>
    <row r="950" spans="11:13" ht="15.5" x14ac:dyDescent="0.35">
      <c r="K950" s="8"/>
      <c r="L950" s="8"/>
      <c r="M950" s="8"/>
    </row>
    <row r="951" spans="11:13" ht="15.5" x14ac:dyDescent="0.35">
      <c r="K951" s="8"/>
      <c r="L951" s="8"/>
      <c r="M951" s="8"/>
    </row>
    <row r="952" spans="11:13" ht="15.5" x14ac:dyDescent="0.35">
      <c r="K952" s="8"/>
      <c r="L952" s="8"/>
      <c r="M952" s="8"/>
    </row>
    <row r="953" spans="11:13" ht="15.5" x14ac:dyDescent="0.35">
      <c r="K953" s="8"/>
      <c r="L953" s="8"/>
      <c r="M953" s="8"/>
    </row>
    <row r="954" spans="11:13" ht="15.5" x14ac:dyDescent="0.35">
      <c r="K954" s="8"/>
      <c r="L954" s="8"/>
      <c r="M954" s="8"/>
    </row>
    <row r="955" spans="11:13" ht="15.5" x14ac:dyDescent="0.35">
      <c r="K955" s="8"/>
      <c r="L955" s="8"/>
      <c r="M955" s="8"/>
    </row>
    <row r="956" spans="11:13" ht="15.5" x14ac:dyDescent="0.35">
      <c r="K956" s="8"/>
      <c r="L956" s="8"/>
      <c r="M956" s="8"/>
    </row>
    <row r="957" spans="11:13" ht="15.5" x14ac:dyDescent="0.35">
      <c r="K957" s="8"/>
      <c r="L957" s="8"/>
      <c r="M957" s="8"/>
    </row>
    <row r="958" spans="11:13" ht="15.5" x14ac:dyDescent="0.35">
      <c r="K958" s="8"/>
      <c r="L958" s="8"/>
      <c r="M958" s="8"/>
    </row>
    <row r="959" spans="11:13" ht="15.5" x14ac:dyDescent="0.35">
      <c r="K959" s="8"/>
      <c r="L959" s="8"/>
      <c r="M959" s="8"/>
    </row>
    <row r="960" spans="11:13" ht="15.5" x14ac:dyDescent="0.35">
      <c r="K960" s="8"/>
      <c r="L960" s="8"/>
      <c r="M960" s="8"/>
    </row>
    <row r="961" spans="11:13" ht="15.5" x14ac:dyDescent="0.35">
      <c r="K961" s="8"/>
      <c r="L961" s="8"/>
      <c r="M961" s="8"/>
    </row>
    <row r="962" spans="11:13" ht="15.5" x14ac:dyDescent="0.35">
      <c r="K962" s="8"/>
      <c r="L962" s="8"/>
      <c r="M962" s="8"/>
    </row>
    <row r="963" spans="11:13" ht="15.5" x14ac:dyDescent="0.35">
      <c r="K963" s="8"/>
      <c r="L963" s="8"/>
      <c r="M963" s="8"/>
    </row>
    <row r="964" spans="11:13" ht="15.5" x14ac:dyDescent="0.35">
      <c r="K964" s="8"/>
      <c r="L964" s="8"/>
      <c r="M964" s="8"/>
    </row>
    <row r="965" spans="11:13" ht="15.5" x14ac:dyDescent="0.35">
      <c r="K965" s="8"/>
      <c r="L965" s="8"/>
      <c r="M965" s="8"/>
    </row>
    <row r="966" spans="11:13" ht="15.5" x14ac:dyDescent="0.35">
      <c r="K966" s="8"/>
      <c r="L966" s="8"/>
      <c r="M966" s="8"/>
    </row>
    <row r="967" spans="11:13" ht="15.5" x14ac:dyDescent="0.35">
      <c r="K967" s="8"/>
      <c r="L967" s="8"/>
      <c r="M967" s="8"/>
    </row>
    <row r="968" spans="11:13" ht="15.5" x14ac:dyDescent="0.35">
      <c r="K968" s="8"/>
      <c r="L968" s="8"/>
      <c r="M968" s="8"/>
    </row>
    <row r="969" spans="11:13" ht="15.5" x14ac:dyDescent="0.35">
      <c r="K969" s="8"/>
      <c r="L969" s="8"/>
      <c r="M969" s="8"/>
    </row>
    <row r="970" spans="11:13" ht="15.5" x14ac:dyDescent="0.35">
      <c r="K970" s="8"/>
      <c r="L970" s="8"/>
      <c r="M970" s="8"/>
    </row>
    <row r="971" spans="11:13" ht="15.5" x14ac:dyDescent="0.35">
      <c r="K971" s="8"/>
      <c r="L971" s="8"/>
      <c r="M971" s="8"/>
    </row>
    <row r="972" spans="11:13" ht="15.5" x14ac:dyDescent="0.35">
      <c r="K972" s="8"/>
      <c r="L972" s="8"/>
      <c r="M972" s="8"/>
    </row>
    <row r="973" spans="11:13" ht="15.5" x14ac:dyDescent="0.35">
      <c r="K973" s="8"/>
      <c r="L973" s="8"/>
      <c r="M973" s="8"/>
    </row>
    <row r="974" spans="11:13" ht="15.5" x14ac:dyDescent="0.35">
      <c r="K974" s="8"/>
      <c r="L974" s="8"/>
      <c r="M974" s="8"/>
    </row>
    <row r="975" spans="11:13" ht="15.5" x14ac:dyDescent="0.35">
      <c r="K975" s="8"/>
      <c r="L975" s="8"/>
      <c r="M975" s="8"/>
    </row>
    <row r="976" spans="11:13" ht="15.5" x14ac:dyDescent="0.35">
      <c r="K976" s="8"/>
      <c r="L976" s="8"/>
      <c r="M976" s="8"/>
    </row>
    <row r="977" spans="11:13" ht="15.5" x14ac:dyDescent="0.35">
      <c r="K977" s="8"/>
      <c r="L977" s="8"/>
      <c r="M977" s="8"/>
    </row>
    <row r="978" spans="11:13" ht="15.5" x14ac:dyDescent="0.35">
      <c r="K978" s="8"/>
      <c r="L978" s="8"/>
      <c r="M978" s="8"/>
    </row>
    <row r="979" spans="11:13" ht="15.5" x14ac:dyDescent="0.35">
      <c r="K979" s="8"/>
      <c r="L979" s="8"/>
      <c r="M979" s="8"/>
    </row>
    <row r="980" spans="11:13" ht="15.5" x14ac:dyDescent="0.35">
      <c r="K980" s="8"/>
      <c r="L980" s="8"/>
      <c r="M980" s="8"/>
    </row>
    <row r="981" spans="11:13" ht="15.5" x14ac:dyDescent="0.35">
      <c r="K981" s="8"/>
      <c r="L981" s="8"/>
      <c r="M981" s="8"/>
    </row>
    <row r="982" spans="11:13" ht="15.5" x14ac:dyDescent="0.35">
      <c r="K982" s="8"/>
      <c r="L982" s="8"/>
      <c r="M982" s="8"/>
    </row>
    <row r="983" spans="11:13" ht="15.5" x14ac:dyDescent="0.35">
      <c r="K983" s="8"/>
      <c r="L983" s="8"/>
      <c r="M983" s="8"/>
    </row>
    <row r="984" spans="11:13" ht="15.5" x14ac:dyDescent="0.35">
      <c r="K984" s="8"/>
      <c r="L984" s="8"/>
      <c r="M984" s="8"/>
    </row>
    <row r="985" spans="11:13" ht="15.5" x14ac:dyDescent="0.35">
      <c r="K985" s="8"/>
      <c r="L985" s="8"/>
      <c r="M985" s="8"/>
    </row>
    <row r="986" spans="11:13" ht="15.5" x14ac:dyDescent="0.35">
      <c r="K986" s="8"/>
      <c r="L986" s="8"/>
      <c r="M986" s="8"/>
    </row>
    <row r="987" spans="11:13" ht="15.5" x14ac:dyDescent="0.35">
      <c r="K987" s="8"/>
      <c r="L987" s="8"/>
      <c r="M987" s="8"/>
    </row>
    <row r="988" spans="11:13" ht="15.5" x14ac:dyDescent="0.35">
      <c r="K988" s="8"/>
      <c r="L988" s="8"/>
      <c r="M988" s="8"/>
    </row>
    <row r="989" spans="11:13" ht="15.5" x14ac:dyDescent="0.35">
      <c r="K989" s="8"/>
      <c r="L989" s="8"/>
      <c r="M989" s="8"/>
    </row>
    <row r="990" spans="11:13" ht="15.5" x14ac:dyDescent="0.35">
      <c r="K990" s="8"/>
      <c r="L990" s="8"/>
      <c r="M990" s="8"/>
    </row>
    <row r="991" spans="11:13" ht="15.5" x14ac:dyDescent="0.35">
      <c r="K991" s="8"/>
      <c r="L991" s="8"/>
      <c r="M991" s="8"/>
    </row>
    <row r="992" spans="11:13" ht="15.5" x14ac:dyDescent="0.35">
      <c r="K992" s="8"/>
      <c r="L992" s="8"/>
      <c r="M992" s="8"/>
    </row>
    <row r="993" spans="11:13" ht="15.5" x14ac:dyDescent="0.35">
      <c r="K993" s="8"/>
      <c r="L993" s="8"/>
      <c r="M993" s="8"/>
    </row>
    <row r="994" spans="11:13" ht="15.5" x14ac:dyDescent="0.35">
      <c r="K994" s="8"/>
      <c r="L994" s="8"/>
      <c r="M994" s="8"/>
    </row>
    <row r="995" spans="11:13" ht="15.5" x14ac:dyDescent="0.35">
      <c r="K995" s="8"/>
      <c r="L995" s="8"/>
      <c r="M995" s="8"/>
    </row>
    <row r="996" spans="11:13" ht="15.5" x14ac:dyDescent="0.35">
      <c r="K996" s="8"/>
      <c r="L996" s="8"/>
      <c r="M996" s="8"/>
    </row>
    <row r="997" spans="11:13" ht="15.5" x14ac:dyDescent="0.35">
      <c r="K997" s="8"/>
      <c r="L997" s="8"/>
      <c r="M997" s="8"/>
    </row>
    <row r="998" spans="11:13" ht="15.5" x14ac:dyDescent="0.35">
      <c r="K998" s="8"/>
      <c r="L998" s="8"/>
      <c r="M998" s="8"/>
    </row>
    <row r="999" spans="11:13" ht="15.5" x14ac:dyDescent="0.35">
      <c r="K999" s="8"/>
      <c r="L999" s="8"/>
      <c r="M999" s="8"/>
    </row>
    <row r="1000" spans="11:13" ht="15.5" x14ac:dyDescent="0.35">
      <c r="K1000" s="8"/>
      <c r="L1000" s="8"/>
      <c r="M1000" s="8"/>
    </row>
  </sheetData>
  <mergeCells count="6">
    <mergeCell ref="A1:P1"/>
    <mergeCell ref="B2:D2"/>
    <mergeCell ref="E2:G2"/>
    <mergeCell ref="H2:J2"/>
    <mergeCell ref="K2:M2"/>
    <mergeCell ref="N2:P2"/>
  </mergeCells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0"/>
  <sheetViews>
    <sheetView zoomScale="93" zoomScaleNormal="93" workbookViewId="0">
      <selection sqref="A1:K1"/>
    </sheetView>
  </sheetViews>
  <sheetFormatPr defaultColWidth="11.25" defaultRowHeight="15" customHeight="1" x14ac:dyDescent="0.35"/>
  <cols>
    <col min="1" max="1" width="26.58203125" customWidth="1"/>
    <col min="2" max="11" width="10.08203125" customWidth="1"/>
    <col min="12" max="26" width="8.5" customWidth="1"/>
  </cols>
  <sheetData>
    <row r="1" spans="1:18" ht="15.5" x14ac:dyDescent="0.35">
      <c r="A1" s="42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41"/>
    </row>
    <row r="2" spans="1:18" ht="15.5" x14ac:dyDescent="0.35">
      <c r="A2" s="1"/>
      <c r="B2" s="43">
        <v>2020</v>
      </c>
      <c r="C2" s="41"/>
      <c r="D2" s="43">
        <v>2021</v>
      </c>
      <c r="E2" s="41"/>
      <c r="F2" s="43">
        <v>2022</v>
      </c>
      <c r="G2" s="41"/>
      <c r="H2" s="43">
        <v>2023</v>
      </c>
      <c r="I2" s="41"/>
      <c r="J2" s="43">
        <v>2024</v>
      </c>
      <c r="K2" s="41"/>
    </row>
    <row r="3" spans="1:18" ht="15.5" x14ac:dyDescent="0.35">
      <c r="A3" s="2" t="s">
        <v>1</v>
      </c>
      <c r="B3" s="3" t="s">
        <v>158</v>
      </c>
      <c r="C3" s="3" t="s">
        <v>159</v>
      </c>
      <c r="D3" s="3" t="s">
        <v>160</v>
      </c>
      <c r="E3" s="3" t="s">
        <v>161</v>
      </c>
      <c r="F3" s="3" t="s">
        <v>162</v>
      </c>
      <c r="G3" s="3" t="s">
        <v>163</v>
      </c>
      <c r="H3" s="3" t="s">
        <v>156</v>
      </c>
      <c r="I3" s="3" t="s">
        <v>157</v>
      </c>
      <c r="J3" s="19" t="s">
        <v>154</v>
      </c>
      <c r="K3" s="19" t="s">
        <v>155</v>
      </c>
    </row>
    <row r="4" spans="1:18" ht="15.5" x14ac:dyDescent="0.35">
      <c r="A4" s="4" t="s">
        <v>7</v>
      </c>
      <c r="B4" s="8">
        <v>100</v>
      </c>
      <c r="C4" s="5">
        <v>94.18</v>
      </c>
      <c r="D4" s="8">
        <v>100</v>
      </c>
      <c r="E4" s="8">
        <v>93.59</v>
      </c>
      <c r="F4" s="8">
        <v>100</v>
      </c>
      <c r="G4" s="8">
        <v>100</v>
      </c>
      <c r="H4" s="8">
        <v>100</v>
      </c>
      <c r="I4" s="8">
        <v>81.16</v>
      </c>
      <c r="J4" s="15">
        <v>100</v>
      </c>
      <c r="K4" s="15">
        <v>100</v>
      </c>
      <c r="N4">
        <v>2020</v>
      </c>
      <c r="O4">
        <v>2021</v>
      </c>
      <c r="P4">
        <v>2022</v>
      </c>
      <c r="Q4">
        <v>2023</v>
      </c>
      <c r="R4">
        <v>2024</v>
      </c>
    </row>
    <row r="5" spans="1:18" ht="15.5" x14ac:dyDescent="0.35">
      <c r="A5" s="4" t="s">
        <v>8</v>
      </c>
      <c r="B5" s="8">
        <v>96.31</v>
      </c>
      <c r="C5" s="5">
        <v>100</v>
      </c>
      <c r="D5" s="8">
        <v>100</v>
      </c>
      <c r="E5" s="8">
        <v>100</v>
      </c>
      <c r="F5" s="8">
        <v>100</v>
      </c>
      <c r="G5" s="8">
        <v>100</v>
      </c>
      <c r="H5" s="8">
        <v>100</v>
      </c>
      <c r="I5" s="8">
        <v>83.62</v>
      </c>
      <c r="J5" s="15">
        <v>100</v>
      </c>
      <c r="K5" s="15">
        <v>100</v>
      </c>
      <c r="M5" s="30" t="s">
        <v>168</v>
      </c>
      <c r="N5" s="25">
        <v>100</v>
      </c>
      <c r="O5" s="25">
        <v>97.29</v>
      </c>
      <c r="P5" s="25">
        <v>100</v>
      </c>
      <c r="Q5" s="25">
        <v>100</v>
      </c>
      <c r="R5" s="29">
        <v>100</v>
      </c>
    </row>
    <row r="6" spans="1:18" ht="15.5" x14ac:dyDescent="0.35">
      <c r="A6" s="4" t="s">
        <v>9</v>
      </c>
      <c r="B6" s="8">
        <v>97.04</v>
      </c>
      <c r="C6" s="5">
        <v>90.32</v>
      </c>
      <c r="D6" s="8">
        <v>100</v>
      </c>
      <c r="E6" s="8">
        <v>100</v>
      </c>
      <c r="F6" s="8">
        <v>88.31</v>
      </c>
      <c r="G6" s="8">
        <v>100</v>
      </c>
      <c r="H6" s="8">
        <v>100</v>
      </c>
      <c r="I6" s="8">
        <v>100</v>
      </c>
      <c r="J6" s="15">
        <v>100</v>
      </c>
      <c r="K6" s="15">
        <v>100</v>
      </c>
      <c r="M6" s="16" t="s">
        <v>169</v>
      </c>
      <c r="N6" s="27">
        <v>100</v>
      </c>
      <c r="O6" s="25">
        <v>100</v>
      </c>
      <c r="P6" s="25">
        <v>100</v>
      </c>
      <c r="Q6" s="25">
        <v>91.59</v>
      </c>
      <c r="R6" s="29">
        <v>100</v>
      </c>
    </row>
    <row r="7" spans="1:18" ht="15.5" x14ac:dyDescent="0.35">
      <c r="A7" s="4" t="s">
        <v>10</v>
      </c>
      <c r="B7" s="8">
        <v>100</v>
      </c>
      <c r="C7" s="5">
        <v>100</v>
      </c>
      <c r="D7" s="8">
        <v>97.29</v>
      </c>
      <c r="E7" s="8">
        <v>100</v>
      </c>
      <c r="F7" s="8">
        <v>100</v>
      </c>
      <c r="G7" s="8">
        <v>100</v>
      </c>
      <c r="H7" s="8">
        <v>100</v>
      </c>
      <c r="I7" s="8">
        <v>91.59</v>
      </c>
      <c r="J7" s="15">
        <v>100</v>
      </c>
      <c r="K7" s="15">
        <v>100</v>
      </c>
    </row>
    <row r="8" spans="1:18" ht="15.5" x14ac:dyDescent="0.35">
      <c r="A8" s="4" t="s">
        <v>11</v>
      </c>
      <c r="B8" s="8">
        <v>100</v>
      </c>
      <c r="C8" s="5">
        <v>80.92</v>
      </c>
      <c r="D8" s="8">
        <v>97.91</v>
      </c>
      <c r="E8" s="8">
        <v>96.84</v>
      </c>
      <c r="F8" s="8">
        <v>100</v>
      </c>
      <c r="G8" s="8">
        <v>100</v>
      </c>
      <c r="H8" s="8">
        <v>87.7</v>
      </c>
      <c r="I8" s="8">
        <v>100</v>
      </c>
      <c r="J8" s="15">
        <v>100</v>
      </c>
      <c r="K8" s="15">
        <v>100</v>
      </c>
    </row>
    <row r="9" spans="1:18" ht="15.5" x14ac:dyDescent="0.35">
      <c r="A9" s="4" t="s">
        <v>12</v>
      </c>
      <c r="B9" s="8">
        <v>100</v>
      </c>
      <c r="C9" s="5">
        <v>100</v>
      </c>
      <c r="D9" s="8">
        <v>100</v>
      </c>
      <c r="E9" s="8">
        <v>100</v>
      </c>
      <c r="F9" s="8">
        <v>99.95</v>
      </c>
      <c r="G9" s="8">
        <v>90.74</v>
      </c>
      <c r="H9" s="8">
        <v>97.4</v>
      </c>
      <c r="I9" s="8">
        <v>100</v>
      </c>
      <c r="J9" s="15">
        <v>100</v>
      </c>
      <c r="K9" s="15">
        <v>100</v>
      </c>
    </row>
    <row r="10" spans="1:18" ht="15.5" x14ac:dyDescent="0.35">
      <c r="A10" s="4" t="s">
        <v>13</v>
      </c>
      <c r="B10" s="8">
        <v>100</v>
      </c>
      <c r="C10" s="5">
        <v>100</v>
      </c>
      <c r="D10" s="8">
        <v>100</v>
      </c>
      <c r="E10" s="8">
        <v>92.95</v>
      </c>
      <c r="F10" s="8">
        <v>100</v>
      </c>
      <c r="G10" s="8">
        <v>91.34</v>
      </c>
      <c r="H10" s="8">
        <v>100</v>
      </c>
      <c r="I10" s="8">
        <v>94.37</v>
      </c>
      <c r="J10" s="15">
        <v>100</v>
      </c>
      <c r="K10" s="15">
        <v>78.94</v>
      </c>
    </row>
    <row r="11" spans="1:18" ht="15.5" x14ac:dyDescent="0.35">
      <c r="A11" s="4" t="s">
        <v>14</v>
      </c>
      <c r="B11" s="8">
        <v>97.3</v>
      </c>
      <c r="C11" s="5">
        <v>100</v>
      </c>
      <c r="D11" s="8">
        <v>98.69</v>
      </c>
      <c r="E11" s="8">
        <v>96.78</v>
      </c>
      <c r="F11" s="8">
        <v>100</v>
      </c>
      <c r="G11" s="8">
        <v>100</v>
      </c>
      <c r="H11" s="8">
        <v>100</v>
      </c>
      <c r="I11" s="8">
        <v>100</v>
      </c>
      <c r="J11" s="15">
        <v>87.11</v>
      </c>
      <c r="K11" s="15">
        <v>100</v>
      </c>
    </row>
    <row r="12" spans="1:18" ht="15.5" x14ac:dyDescent="0.35">
      <c r="A12" s="4" t="s">
        <v>15</v>
      </c>
      <c r="B12" s="8">
        <v>100</v>
      </c>
      <c r="C12" s="5">
        <v>96.73</v>
      </c>
      <c r="D12" s="8">
        <v>100</v>
      </c>
      <c r="E12" s="8">
        <v>75.959999999999994</v>
      </c>
      <c r="F12" s="8">
        <v>95.24</v>
      </c>
      <c r="G12" s="8">
        <v>83.47</v>
      </c>
      <c r="H12" s="8">
        <v>96.76</v>
      </c>
      <c r="I12" s="8">
        <v>87</v>
      </c>
      <c r="J12" s="15">
        <v>100</v>
      </c>
      <c r="K12" s="15">
        <v>95.65</v>
      </c>
    </row>
    <row r="13" spans="1:18" ht="15.5" x14ac:dyDescent="0.35">
      <c r="A13" s="4" t="s">
        <v>16</v>
      </c>
      <c r="B13" s="8">
        <v>100</v>
      </c>
      <c r="C13" s="5">
        <v>88.99</v>
      </c>
      <c r="D13" s="8">
        <v>100</v>
      </c>
      <c r="E13" s="8">
        <v>100</v>
      </c>
      <c r="F13" s="8">
        <v>92.71</v>
      </c>
      <c r="G13" s="8">
        <v>100</v>
      </c>
      <c r="H13" s="8">
        <v>100</v>
      </c>
      <c r="I13" s="8">
        <v>100</v>
      </c>
      <c r="J13" s="15">
        <v>100</v>
      </c>
      <c r="K13" s="15">
        <v>100</v>
      </c>
    </row>
    <row r="14" spans="1:18" ht="15.5" x14ac:dyDescent="0.35">
      <c r="A14" s="4" t="s">
        <v>17</v>
      </c>
      <c r="B14" s="8">
        <v>97.96</v>
      </c>
      <c r="C14" s="5">
        <v>100</v>
      </c>
      <c r="D14" s="8">
        <v>100</v>
      </c>
      <c r="E14" s="8">
        <v>94</v>
      </c>
      <c r="F14" s="8">
        <v>100</v>
      </c>
      <c r="G14" s="8">
        <v>89.51</v>
      </c>
      <c r="H14" s="8">
        <v>97.9</v>
      </c>
      <c r="I14" s="8">
        <v>91.15</v>
      </c>
      <c r="J14" s="15">
        <v>93.46</v>
      </c>
      <c r="K14" s="15">
        <v>71.209999999999994</v>
      </c>
    </row>
    <row r="15" spans="1:18" ht="15.5" x14ac:dyDescent="0.35">
      <c r="A15" s="4" t="s">
        <v>18</v>
      </c>
      <c r="B15" s="8">
        <v>100</v>
      </c>
      <c r="C15" s="5">
        <v>88.5</v>
      </c>
      <c r="D15" s="8">
        <v>100</v>
      </c>
      <c r="E15" s="8">
        <v>100</v>
      </c>
      <c r="F15" s="8">
        <v>100</v>
      </c>
      <c r="G15" s="8">
        <v>100</v>
      </c>
      <c r="H15" s="8">
        <v>100</v>
      </c>
      <c r="I15" s="8">
        <v>76.209999999999994</v>
      </c>
      <c r="J15" s="15">
        <v>100</v>
      </c>
      <c r="K15" s="15">
        <v>100</v>
      </c>
    </row>
    <row r="16" spans="1:18" ht="15.5" x14ac:dyDescent="0.35">
      <c r="A16" s="4" t="s">
        <v>19</v>
      </c>
      <c r="B16" s="8">
        <v>98.5</v>
      </c>
      <c r="C16" s="5">
        <v>83.94</v>
      </c>
      <c r="D16" s="8">
        <v>96.99</v>
      </c>
      <c r="E16" s="8">
        <v>100</v>
      </c>
      <c r="F16" s="8">
        <v>99.98</v>
      </c>
      <c r="G16" s="8">
        <v>100</v>
      </c>
      <c r="H16" s="8">
        <v>100</v>
      </c>
      <c r="I16" s="8">
        <v>100</v>
      </c>
      <c r="J16" s="15">
        <v>97.53</v>
      </c>
      <c r="K16" s="15">
        <v>89.63</v>
      </c>
    </row>
    <row r="17" spans="1:11" ht="15.5" x14ac:dyDescent="0.35">
      <c r="A17" s="4" t="s">
        <v>20</v>
      </c>
      <c r="B17" s="8">
        <v>99.04</v>
      </c>
      <c r="C17" s="5">
        <v>100</v>
      </c>
      <c r="D17" s="8">
        <v>100</v>
      </c>
      <c r="E17" s="8">
        <v>92.47</v>
      </c>
      <c r="F17" s="8">
        <v>95.33</v>
      </c>
      <c r="G17" s="8">
        <v>92.03</v>
      </c>
      <c r="H17" s="8">
        <v>100</v>
      </c>
      <c r="I17" s="8">
        <v>100</v>
      </c>
      <c r="J17" s="15">
        <v>98.77</v>
      </c>
      <c r="K17" s="15">
        <v>85.45</v>
      </c>
    </row>
    <row r="18" spans="1:11" ht="15.5" x14ac:dyDescent="0.35">
      <c r="A18" s="4" t="s">
        <v>21</v>
      </c>
      <c r="B18" s="8">
        <v>100</v>
      </c>
      <c r="C18" s="5">
        <v>100</v>
      </c>
      <c r="D18" s="8">
        <v>100</v>
      </c>
      <c r="E18" s="8">
        <v>100</v>
      </c>
      <c r="F18" s="8">
        <v>100</v>
      </c>
      <c r="G18" s="8">
        <v>100</v>
      </c>
      <c r="H18" s="8">
        <v>97.68</v>
      </c>
      <c r="I18" s="8">
        <v>100</v>
      </c>
      <c r="J18" s="15">
        <v>96</v>
      </c>
      <c r="K18" s="15">
        <v>100</v>
      </c>
    </row>
    <row r="19" spans="1:11" ht="15.5" x14ac:dyDescent="0.35">
      <c r="A19" s="4" t="s">
        <v>22</v>
      </c>
      <c r="B19" s="8">
        <v>100</v>
      </c>
      <c r="C19" s="5">
        <v>91.21</v>
      </c>
      <c r="D19" s="8">
        <v>100</v>
      </c>
      <c r="E19" s="8">
        <v>100</v>
      </c>
      <c r="F19" s="8">
        <v>94.01</v>
      </c>
      <c r="G19" s="8">
        <v>98.21</v>
      </c>
      <c r="H19" s="8">
        <v>100</v>
      </c>
      <c r="I19" s="8">
        <v>100</v>
      </c>
      <c r="J19" s="15">
        <v>100</v>
      </c>
      <c r="K19" s="15">
        <v>100</v>
      </c>
    </row>
    <row r="20" spans="1:11" ht="15.5" x14ac:dyDescent="0.35">
      <c r="A20" s="4" t="s">
        <v>23</v>
      </c>
      <c r="B20" s="8">
        <v>98.64</v>
      </c>
      <c r="C20" s="5">
        <v>100</v>
      </c>
      <c r="D20" s="8">
        <v>100</v>
      </c>
      <c r="E20" s="8">
        <v>100</v>
      </c>
      <c r="F20" s="8">
        <v>98.62</v>
      </c>
      <c r="G20" s="8">
        <v>97.18</v>
      </c>
      <c r="H20" s="8">
        <v>100</v>
      </c>
      <c r="I20" s="8">
        <v>94.81</v>
      </c>
      <c r="J20" s="15">
        <v>100</v>
      </c>
      <c r="K20" s="15">
        <v>100</v>
      </c>
    </row>
    <row r="21" spans="1:11" ht="15.5" x14ac:dyDescent="0.35">
      <c r="A21" s="4" t="s">
        <v>24</v>
      </c>
      <c r="B21" s="8">
        <v>100</v>
      </c>
      <c r="C21" s="5">
        <v>100</v>
      </c>
      <c r="D21" s="8">
        <v>97.38</v>
      </c>
      <c r="E21" s="8">
        <v>96.61</v>
      </c>
      <c r="F21" s="8">
        <v>100</v>
      </c>
      <c r="G21" s="8">
        <v>100</v>
      </c>
      <c r="H21" s="8">
        <v>100</v>
      </c>
      <c r="I21" s="8">
        <v>99.4</v>
      </c>
      <c r="J21" s="15">
        <v>100</v>
      </c>
      <c r="K21" s="15">
        <v>91.57</v>
      </c>
    </row>
    <row r="22" spans="1:11" ht="15.5" x14ac:dyDescent="0.35">
      <c r="A22" s="4" t="s">
        <v>25</v>
      </c>
      <c r="B22" s="8">
        <v>97.58</v>
      </c>
      <c r="C22" s="5">
        <v>88.05</v>
      </c>
      <c r="D22" s="8">
        <v>100</v>
      </c>
      <c r="E22" s="8">
        <v>100</v>
      </c>
      <c r="F22" s="8">
        <v>100</v>
      </c>
      <c r="G22" s="8">
        <v>84.62</v>
      </c>
      <c r="H22" s="8">
        <v>100</v>
      </c>
      <c r="I22" s="8">
        <v>100</v>
      </c>
      <c r="J22" s="15">
        <v>97.26</v>
      </c>
      <c r="K22" s="15">
        <v>100</v>
      </c>
    </row>
    <row r="23" spans="1:11" ht="15.5" x14ac:dyDescent="0.35">
      <c r="A23" s="4" t="s">
        <v>26</v>
      </c>
      <c r="B23" s="8">
        <v>100</v>
      </c>
      <c r="C23" s="5">
        <v>100</v>
      </c>
      <c r="D23" s="8">
        <v>100</v>
      </c>
      <c r="E23" s="8">
        <v>92.34</v>
      </c>
      <c r="F23" s="8">
        <v>100</v>
      </c>
      <c r="G23" s="8">
        <v>97.91</v>
      </c>
      <c r="H23" s="8">
        <v>97.5</v>
      </c>
      <c r="I23" s="8">
        <v>88.15</v>
      </c>
      <c r="J23" s="15">
        <v>100</v>
      </c>
      <c r="K23" s="15">
        <v>100</v>
      </c>
    </row>
    <row r="24" spans="1:11" ht="15.5" x14ac:dyDescent="0.35">
      <c r="A24" s="4" t="s">
        <v>27</v>
      </c>
      <c r="B24" s="8">
        <v>100</v>
      </c>
      <c r="C24" s="5">
        <v>94.39</v>
      </c>
      <c r="D24" s="8">
        <v>100</v>
      </c>
      <c r="E24" s="8">
        <v>100</v>
      </c>
      <c r="F24" s="8">
        <v>100</v>
      </c>
      <c r="G24" s="8">
        <v>100</v>
      </c>
      <c r="H24" s="8">
        <v>100</v>
      </c>
      <c r="I24" s="8">
        <v>100</v>
      </c>
      <c r="J24" s="15">
        <v>100</v>
      </c>
      <c r="K24" s="15">
        <v>89.35</v>
      </c>
    </row>
    <row r="25" spans="1:11" ht="15.5" x14ac:dyDescent="0.35">
      <c r="A25" s="4" t="s">
        <v>28</v>
      </c>
      <c r="B25" s="8">
        <v>100</v>
      </c>
      <c r="C25" s="5">
        <v>94.12</v>
      </c>
      <c r="D25" s="8">
        <v>100</v>
      </c>
      <c r="E25" s="8">
        <v>91.83</v>
      </c>
      <c r="F25" s="8">
        <v>100</v>
      </c>
      <c r="G25" s="8">
        <v>100</v>
      </c>
      <c r="H25" s="8">
        <v>95.65</v>
      </c>
      <c r="I25" s="8">
        <v>96.92</v>
      </c>
      <c r="J25" s="15">
        <v>100</v>
      </c>
      <c r="K25" s="15">
        <v>100</v>
      </c>
    </row>
    <row r="26" spans="1:11" ht="15.5" x14ac:dyDescent="0.35">
      <c r="A26" s="4" t="s">
        <v>29</v>
      </c>
      <c r="B26" s="8">
        <v>100</v>
      </c>
      <c r="C26" s="5">
        <v>100</v>
      </c>
      <c r="D26" s="8">
        <v>100</v>
      </c>
      <c r="E26" s="8">
        <v>91.55</v>
      </c>
      <c r="F26" s="8">
        <v>100</v>
      </c>
      <c r="G26" s="8">
        <v>95.06</v>
      </c>
      <c r="H26" s="8">
        <v>100</v>
      </c>
      <c r="I26" s="8">
        <v>94.65</v>
      </c>
      <c r="J26" s="15">
        <v>100</v>
      </c>
      <c r="K26" s="15">
        <v>86.76</v>
      </c>
    </row>
    <row r="27" spans="1:11" ht="15.5" x14ac:dyDescent="0.35">
      <c r="A27" s="4" t="s">
        <v>30</v>
      </c>
      <c r="B27" s="8">
        <v>97.58</v>
      </c>
      <c r="C27" s="5">
        <v>100</v>
      </c>
      <c r="D27" s="8">
        <v>95.06</v>
      </c>
      <c r="E27" s="8">
        <v>94.26</v>
      </c>
      <c r="F27" s="8">
        <v>100</v>
      </c>
      <c r="G27" s="8">
        <v>100</v>
      </c>
      <c r="H27" s="8">
        <v>100</v>
      </c>
      <c r="I27" s="8">
        <v>100</v>
      </c>
      <c r="J27" s="15">
        <v>100</v>
      </c>
      <c r="K27" s="15">
        <v>100</v>
      </c>
    </row>
    <row r="28" spans="1:11" ht="15.5" x14ac:dyDescent="0.35">
      <c r="A28" s="4" t="s">
        <v>31</v>
      </c>
      <c r="B28" s="8">
        <v>100</v>
      </c>
      <c r="C28" s="5">
        <v>100</v>
      </c>
      <c r="D28" s="8">
        <v>100</v>
      </c>
      <c r="E28" s="8">
        <v>94.51</v>
      </c>
      <c r="F28" s="8">
        <v>100</v>
      </c>
      <c r="G28" s="8">
        <v>85.8</v>
      </c>
      <c r="H28" s="8">
        <v>100</v>
      </c>
      <c r="I28" s="8">
        <v>84.63</v>
      </c>
      <c r="J28" s="15">
        <v>100</v>
      </c>
      <c r="K28" s="15">
        <v>100</v>
      </c>
    </row>
    <row r="29" spans="1:11" ht="15.5" x14ac:dyDescent="0.35">
      <c r="A29" s="4" t="s">
        <v>32</v>
      </c>
      <c r="B29" s="8">
        <v>99.34</v>
      </c>
      <c r="C29" s="5">
        <v>90.32</v>
      </c>
      <c r="D29" s="8">
        <v>99.31</v>
      </c>
      <c r="E29" s="8">
        <v>85.36</v>
      </c>
      <c r="F29" s="8">
        <v>99.98</v>
      </c>
      <c r="G29" s="8">
        <v>100</v>
      </c>
      <c r="H29" s="8">
        <v>100</v>
      </c>
      <c r="I29" s="8">
        <v>88.29</v>
      </c>
      <c r="J29" s="15">
        <v>100</v>
      </c>
      <c r="K29" s="15">
        <v>94.49</v>
      </c>
    </row>
    <row r="30" spans="1:11" ht="15.5" x14ac:dyDescent="0.35">
      <c r="A30" s="4" t="s">
        <v>33</v>
      </c>
      <c r="B30" s="8">
        <v>100</v>
      </c>
      <c r="C30" s="5">
        <v>87.42</v>
      </c>
      <c r="D30" s="8">
        <v>99.35</v>
      </c>
      <c r="E30" s="8">
        <v>89.46</v>
      </c>
      <c r="F30" s="8">
        <v>96.19</v>
      </c>
      <c r="G30" s="8">
        <v>91.15</v>
      </c>
      <c r="H30" s="8">
        <v>99.27</v>
      </c>
      <c r="I30" s="8">
        <v>94.55</v>
      </c>
      <c r="J30" s="15">
        <v>100</v>
      </c>
      <c r="K30" s="15">
        <v>92.22</v>
      </c>
    </row>
    <row r="31" spans="1:11" ht="15.5" x14ac:dyDescent="0.35">
      <c r="A31" s="4" t="s">
        <v>34</v>
      </c>
      <c r="B31" s="8">
        <v>90.7</v>
      </c>
      <c r="C31" s="5">
        <v>100</v>
      </c>
      <c r="D31" s="8">
        <v>100</v>
      </c>
      <c r="E31" s="8">
        <v>100</v>
      </c>
      <c r="F31" s="8">
        <v>99.03</v>
      </c>
      <c r="G31" s="8">
        <v>100</v>
      </c>
      <c r="H31" s="8">
        <v>100</v>
      </c>
      <c r="I31" s="8">
        <v>100</v>
      </c>
      <c r="J31" s="15">
        <v>100</v>
      </c>
      <c r="K31" s="15">
        <v>100</v>
      </c>
    </row>
    <row r="32" spans="1:11" ht="15.5" x14ac:dyDescent="0.35">
      <c r="A32" s="4" t="s">
        <v>35</v>
      </c>
      <c r="B32" s="8">
        <v>100</v>
      </c>
      <c r="C32" s="5">
        <v>85.96</v>
      </c>
      <c r="D32" s="8">
        <v>100</v>
      </c>
      <c r="E32" s="8">
        <v>97.17</v>
      </c>
      <c r="F32" s="8">
        <v>100</v>
      </c>
      <c r="G32" s="8">
        <v>100</v>
      </c>
      <c r="H32" s="8">
        <v>99.74</v>
      </c>
      <c r="I32" s="8">
        <v>98.52</v>
      </c>
      <c r="J32" s="15">
        <v>100</v>
      </c>
      <c r="K32" s="15">
        <v>95.17</v>
      </c>
    </row>
    <row r="33" spans="1:11" ht="15.5" x14ac:dyDescent="0.35">
      <c r="A33" s="4" t="s">
        <v>36</v>
      </c>
      <c r="B33" s="8">
        <v>100</v>
      </c>
      <c r="C33" s="5">
        <v>78.349999999999994</v>
      </c>
      <c r="D33" s="8">
        <v>100</v>
      </c>
      <c r="E33" s="8">
        <v>87.8</v>
      </c>
      <c r="F33" s="8">
        <v>100</v>
      </c>
      <c r="G33" s="8">
        <v>100</v>
      </c>
      <c r="H33" s="8">
        <v>96.32</v>
      </c>
      <c r="I33" s="8">
        <v>100</v>
      </c>
      <c r="J33" s="15">
        <v>100</v>
      </c>
      <c r="K33" s="15">
        <v>100</v>
      </c>
    </row>
    <row r="34" spans="1:11" ht="15.5" x14ac:dyDescent="0.35">
      <c r="A34" s="4" t="s">
        <v>37</v>
      </c>
      <c r="B34" s="8">
        <v>100</v>
      </c>
      <c r="C34" s="5">
        <v>100</v>
      </c>
      <c r="D34" s="8">
        <v>100</v>
      </c>
      <c r="E34" s="8">
        <v>100</v>
      </c>
      <c r="F34" s="8">
        <v>100</v>
      </c>
      <c r="G34" s="8">
        <v>100</v>
      </c>
      <c r="H34" s="8">
        <v>100</v>
      </c>
      <c r="I34" s="8">
        <v>91.01</v>
      </c>
      <c r="J34" s="15">
        <v>100</v>
      </c>
      <c r="K34" s="15">
        <v>100</v>
      </c>
    </row>
    <row r="35" spans="1:11" ht="15.5" x14ac:dyDescent="0.35">
      <c r="A35" s="4" t="s">
        <v>38</v>
      </c>
      <c r="B35" s="8">
        <v>100</v>
      </c>
      <c r="C35" s="5">
        <v>100</v>
      </c>
      <c r="D35" s="8">
        <v>97.8</v>
      </c>
      <c r="E35" s="8">
        <v>100</v>
      </c>
      <c r="F35" s="8">
        <v>100</v>
      </c>
      <c r="G35" s="8">
        <v>100</v>
      </c>
      <c r="H35" s="8">
        <v>100</v>
      </c>
      <c r="I35" s="8">
        <v>100</v>
      </c>
      <c r="J35" s="15">
        <v>100</v>
      </c>
      <c r="K35" s="15">
        <v>100</v>
      </c>
    </row>
    <row r="36" spans="1:11" ht="15.5" x14ac:dyDescent="0.35">
      <c r="A36" s="4" t="s">
        <v>39</v>
      </c>
      <c r="B36" s="8">
        <v>100</v>
      </c>
      <c r="C36" s="5">
        <v>92.6</v>
      </c>
      <c r="D36" s="8">
        <v>98.04</v>
      </c>
      <c r="E36" s="8">
        <v>100</v>
      </c>
      <c r="F36" s="8">
        <v>100</v>
      </c>
      <c r="G36" s="8">
        <v>100</v>
      </c>
      <c r="H36" s="8">
        <v>100</v>
      </c>
      <c r="I36" s="8">
        <v>100</v>
      </c>
      <c r="J36" s="15">
        <v>100</v>
      </c>
      <c r="K36" s="15">
        <v>70.5</v>
      </c>
    </row>
    <row r="37" spans="1:11" ht="15.5" x14ac:dyDescent="0.35">
      <c r="A37" s="4" t="s">
        <v>40</v>
      </c>
      <c r="B37" s="8">
        <v>100</v>
      </c>
      <c r="C37" s="5">
        <v>100</v>
      </c>
      <c r="D37" s="8">
        <v>100</v>
      </c>
      <c r="E37" s="8">
        <v>100</v>
      </c>
      <c r="F37" s="8">
        <v>100</v>
      </c>
      <c r="G37" s="8">
        <v>100</v>
      </c>
      <c r="H37" s="8">
        <v>100</v>
      </c>
      <c r="I37" s="8">
        <v>100</v>
      </c>
      <c r="J37" s="15">
        <v>100</v>
      </c>
      <c r="K37" s="17" t="s">
        <v>153</v>
      </c>
    </row>
    <row r="38" spans="1:11" ht="15.5" x14ac:dyDescent="0.35">
      <c r="A38" s="4" t="s">
        <v>41</v>
      </c>
      <c r="B38" s="8">
        <v>100</v>
      </c>
      <c r="C38" s="5">
        <v>100</v>
      </c>
      <c r="D38" s="8">
        <v>100</v>
      </c>
      <c r="E38" s="8">
        <v>100</v>
      </c>
      <c r="F38" s="8">
        <v>100</v>
      </c>
      <c r="G38" s="8">
        <v>100</v>
      </c>
      <c r="H38" s="8">
        <v>100</v>
      </c>
      <c r="I38" s="8">
        <v>100</v>
      </c>
      <c r="J38" s="15">
        <v>100</v>
      </c>
      <c r="K38" s="15">
        <v>100</v>
      </c>
    </row>
    <row r="39" spans="1:11" ht="15.5" x14ac:dyDescent="0.35">
      <c r="A39" s="4" t="s">
        <v>42</v>
      </c>
      <c r="B39" s="8">
        <v>100</v>
      </c>
      <c r="C39" s="5">
        <v>100</v>
      </c>
      <c r="D39" s="8">
        <v>100</v>
      </c>
      <c r="E39" s="8">
        <v>88.58</v>
      </c>
      <c r="F39" s="8">
        <v>100</v>
      </c>
      <c r="G39" s="8">
        <v>100</v>
      </c>
      <c r="H39" s="8">
        <v>100</v>
      </c>
      <c r="I39" s="8">
        <v>100</v>
      </c>
      <c r="J39" s="15">
        <v>100</v>
      </c>
      <c r="K39" s="15">
        <v>100</v>
      </c>
    </row>
    <row r="40" spans="1:11" ht="15.5" x14ac:dyDescent="0.35">
      <c r="A40" s="4" t="s">
        <v>43</v>
      </c>
      <c r="B40" s="8">
        <v>100</v>
      </c>
      <c r="C40" s="5">
        <v>97.22</v>
      </c>
      <c r="D40" s="8">
        <v>100</v>
      </c>
      <c r="E40" s="8">
        <v>100</v>
      </c>
      <c r="F40" s="8">
        <v>100</v>
      </c>
      <c r="G40" s="8">
        <v>91.2</v>
      </c>
      <c r="H40" s="8">
        <v>94.1</v>
      </c>
      <c r="I40" s="8">
        <v>100</v>
      </c>
      <c r="J40" s="15">
        <v>100</v>
      </c>
      <c r="K40" s="15">
        <v>100</v>
      </c>
    </row>
    <row r="41" spans="1:11" ht="15.5" x14ac:dyDescent="0.35">
      <c r="A41" s="4" t="s">
        <v>44</v>
      </c>
      <c r="B41" s="8">
        <v>100</v>
      </c>
      <c r="C41" s="5">
        <v>100</v>
      </c>
      <c r="D41" s="8">
        <v>100</v>
      </c>
      <c r="E41" s="8">
        <v>49.57</v>
      </c>
      <c r="F41" s="8">
        <v>100</v>
      </c>
      <c r="G41" s="8">
        <v>100</v>
      </c>
      <c r="H41" s="8">
        <v>100</v>
      </c>
      <c r="I41" s="8">
        <v>100</v>
      </c>
      <c r="J41" s="15">
        <v>100</v>
      </c>
      <c r="K41" s="17" t="s">
        <v>153</v>
      </c>
    </row>
    <row r="42" spans="1:11" ht="15.5" hidden="1" x14ac:dyDescent="0.35">
      <c r="A42" s="4" t="s">
        <v>45</v>
      </c>
      <c r="B42" s="8">
        <v>99.22</v>
      </c>
      <c r="C42" s="5">
        <v>95.13</v>
      </c>
      <c r="D42" s="8">
        <v>99.37</v>
      </c>
      <c r="E42" s="8">
        <v>94.68</v>
      </c>
      <c r="F42" s="8">
        <v>98.79</v>
      </c>
      <c r="G42" s="8">
        <v>95.68</v>
      </c>
      <c r="H42" s="8">
        <v>98.77</v>
      </c>
      <c r="I42" s="8">
        <v>95.13</v>
      </c>
      <c r="J42" s="8">
        <v>99.34</v>
      </c>
      <c r="K42" s="8">
        <v>97.68</v>
      </c>
    </row>
    <row r="46" spans="1:11" ht="15.5" x14ac:dyDescent="0.35">
      <c r="K46" s="9">
        <v>40660604.999998726</v>
      </c>
    </row>
    <row r="47" spans="1:11" ht="15.5" x14ac:dyDescent="0.35">
      <c r="K47" s="9">
        <v>40485309.000001431</v>
      </c>
    </row>
    <row r="48" spans="1:11" ht="15.5" x14ac:dyDescent="0.35">
      <c r="K48" s="9">
        <v>40300474.000001721</v>
      </c>
    </row>
    <row r="49" spans="11:11" ht="15.5" x14ac:dyDescent="0.35">
      <c r="K49" s="9">
        <v>40106454.946722746</v>
      </c>
    </row>
    <row r="50" spans="11:11" ht="15.5" x14ac:dyDescent="0.35">
      <c r="K50" s="9">
        <v>39839393.838448524</v>
      </c>
    </row>
  </sheetData>
  <mergeCells count="6">
    <mergeCell ref="A1:K1"/>
    <mergeCell ref="B2:C2"/>
    <mergeCell ref="D2:E2"/>
    <mergeCell ref="F2:G2"/>
    <mergeCell ref="H2:I2"/>
    <mergeCell ref="J2:K2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0"/>
  <sheetViews>
    <sheetView zoomScale="118" workbookViewId="0">
      <selection activeCell="G19" sqref="G19"/>
    </sheetView>
  </sheetViews>
  <sheetFormatPr defaultColWidth="11.25" defaultRowHeight="15" customHeight="1" x14ac:dyDescent="0.35"/>
  <cols>
    <col min="1" max="1" width="31.33203125" customWidth="1"/>
    <col min="2" max="26" width="8.5" customWidth="1"/>
  </cols>
  <sheetData>
    <row r="1" spans="1:7" ht="15" customHeight="1" x14ac:dyDescent="0.35">
      <c r="A1" s="44" t="s">
        <v>79</v>
      </c>
      <c r="B1" s="45"/>
      <c r="C1" s="45"/>
      <c r="D1" s="46"/>
    </row>
    <row r="2" spans="1:7" ht="15.5" x14ac:dyDescent="0.35">
      <c r="A2" s="47"/>
      <c r="B2" s="48"/>
      <c r="C2" s="48"/>
      <c r="D2" s="49"/>
    </row>
    <row r="3" spans="1:7" ht="15.5" x14ac:dyDescent="0.35">
      <c r="A3" s="2" t="s">
        <v>1</v>
      </c>
      <c r="B3" s="3" t="s">
        <v>80</v>
      </c>
      <c r="C3" s="3" t="s">
        <v>81</v>
      </c>
      <c r="D3" s="3" t="s">
        <v>82</v>
      </c>
    </row>
    <row r="4" spans="1:7" ht="15.5" x14ac:dyDescent="0.35">
      <c r="A4" s="4" t="s">
        <v>7</v>
      </c>
      <c r="B4" s="5">
        <v>24.82</v>
      </c>
      <c r="C4" s="5">
        <v>75.180000000000007</v>
      </c>
      <c r="D4" s="5">
        <v>13.027033293145045</v>
      </c>
    </row>
    <row r="5" spans="1:7" ht="15.5" x14ac:dyDescent="0.35">
      <c r="A5" s="4" t="s">
        <v>8</v>
      </c>
      <c r="B5" s="5">
        <v>21.6</v>
      </c>
      <c r="C5" s="5">
        <v>78.400000000000006</v>
      </c>
      <c r="D5" s="5">
        <v>18.991849264107657</v>
      </c>
    </row>
    <row r="6" spans="1:7" ht="15.5" x14ac:dyDescent="0.35">
      <c r="A6" s="4" t="s">
        <v>9</v>
      </c>
      <c r="B6" s="5">
        <v>26.79</v>
      </c>
      <c r="C6" s="5">
        <v>73.209999999999994</v>
      </c>
      <c r="D6" s="5">
        <v>14.880797807498517</v>
      </c>
      <c r="F6" s="32" t="s">
        <v>80</v>
      </c>
      <c r="G6" s="32" t="s">
        <v>81</v>
      </c>
    </row>
    <row r="7" spans="1:7" ht="15.5" x14ac:dyDescent="0.35">
      <c r="A7" s="4" t="s">
        <v>10</v>
      </c>
      <c r="B7" s="5">
        <v>16.52</v>
      </c>
      <c r="C7" s="5">
        <v>83.48</v>
      </c>
      <c r="D7" s="5">
        <v>20.602551533390926</v>
      </c>
      <c r="F7" s="31">
        <v>16.52</v>
      </c>
      <c r="G7" s="31">
        <v>83.48</v>
      </c>
    </row>
    <row r="8" spans="1:7" ht="15.5" x14ac:dyDescent="0.35">
      <c r="A8" s="4" t="s">
        <v>11</v>
      </c>
      <c r="B8" s="5">
        <v>26.96</v>
      </c>
      <c r="C8" s="5">
        <v>73.040000000000006</v>
      </c>
      <c r="D8" s="5">
        <v>21.8018670235904</v>
      </c>
    </row>
    <row r="9" spans="1:7" ht="15.5" x14ac:dyDescent="0.35">
      <c r="A9" s="4" t="s">
        <v>12</v>
      </c>
      <c r="B9" s="5">
        <v>26.52</v>
      </c>
      <c r="C9" s="5">
        <v>73.48</v>
      </c>
      <c r="D9" s="5">
        <v>14.861523981684426</v>
      </c>
    </row>
    <row r="10" spans="1:7" ht="15.5" x14ac:dyDescent="0.35">
      <c r="A10" s="4" t="s">
        <v>13</v>
      </c>
      <c r="B10" s="5">
        <v>24.53</v>
      </c>
      <c r="C10" s="5">
        <v>75.47</v>
      </c>
      <c r="D10" s="5">
        <v>17.883584223745686</v>
      </c>
    </row>
    <row r="11" spans="1:7" ht="15.5" x14ac:dyDescent="0.35">
      <c r="A11" s="4" t="s">
        <v>14</v>
      </c>
      <c r="B11" s="5">
        <v>24.82</v>
      </c>
      <c r="C11" s="5">
        <v>75.180000000000007</v>
      </c>
      <c r="D11" s="5">
        <v>23.585678335223388</v>
      </c>
    </row>
    <row r="12" spans="1:7" ht="15.5" x14ac:dyDescent="0.35">
      <c r="A12" s="4" t="s">
        <v>15</v>
      </c>
      <c r="B12" s="5">
        <v>27.67</v>
      </c>
      <c r="C12" s="5">
        <v>72.33</v>
      </c>
      <c r="D12" s="5">
        <v>12.954036826616921</v>
      </c>
    </row>
    <row r="13" spans="1:7" ht="15.5" x14ac:dyDescent="0.35">
      <c r="A13" s="4" t="s">
        <v>16</v>
      </c>
      <c r="B13" s="5">
        <v>31.06</v>
      </c>
      <c r="C13" s="5">
        <v>68.94</v>
      </c>
      <c r="D13" s="5">
        <v>13.83662103424188</v>
      </c>
    </row>
    <row r="14" spans="1:7" ht="15.5" x14ac:dyDescent="0.35">
      <c r="A14" s="4" t="s">
        <v>17</v>
      </c>
      <c r="B14" s="5">
        <v>31.59</v>
      </c>
      <c r="C14" s="5">
        <v>68.41</v>
      </c>
      <c r="D14" s="5">
        <v>10.951018114071008</v>
      </c>
    </row>
    <row r="15" spans="1:7" ht="15.5" x14ac:dyDescent="0.35">
      <c r="A15" s="4" t="s">
        <v>18</v>
      </c>
      <c r="B15" s="5">
        <v>22.09</v>
      </c>
      <c r="C15" s="5">
        <v>77.91</v>
      </c>
      <c r="D15" s="5">
        <v>17.04516418082487</v>
      </c>
    </row>
    <row r="16" spans="1:7" ht="15.5" x14ac:dyDescent="0.35">
      <c r="A16" s="4" t="s">
        <v>19</v>
      </c>
      <c r="B16" s="5">
        <v>25.81</v>
      </c>
      <c r="C16" s="5">
        <v>74.19</v>
      </c>
      <c r="D16" s="5">
        <v>13.150775657794</v>
      </c>
    </row>
    <row r="17" spans="1:5" ht="15.5" x14ac:dyDescent="0.35">
      <c r="A17" s="4" t="s">
        <v>20</v>
      </c>
      <c r="B17" s="5">
        <v>19.920000000000002</v>
      </c>
      <c r="C17" s="5">
        <v>80.08</v>
      </c>
      <c r="D17" s="5">
        <v>19.506954410507728</v>
      </c>
    </row>
    <row r="18" spans="1:5" ht="15.5" x14ac:dyDescent="0.35">
      <c r="A18" s="4" t="s">
        <v>21</v>
      </c>
      <c r="B18" s="5">
        <v>12.9</v>
      </c>
      <c r="C18" s="5">
        <v>87.1</v>
      </c>
      <c r="D18" s="5">
        <v>27.389765343241972</v>
      </c>
      <c r="E18" s="4" t="s">
        <v>83</v>
      </c>
    </row>
    <row r="19" spans="1:5" ht="15.5" x14ac:dyDescent="0.35">
      <c r="A19" s="4" t="s">
        <v>22</v>
      </c>
      <c r="B19" s="5">
        <v>22.03</v>
      </c>
      <c r="C19" s="5">
        <v>77.97</v>
      </c>
      <c r="D19" s="5">
        <v>19.572992582377594</v>
      </c>
    </row>
    <row r="20" spans="1:5" ht="15.5" x14ac:dyDescent="0.35">
      <c r="A20" s="4" t="s">
        <v>23</v>
      </c>
      <c r="B20" s="5">
        <v>38.950000000000003</v>
      </c>
      <c r="C20" s="5">
        <v>61.05</v>
      </c>
      <c r="D20" s="5">
        <v>15.649754155359636</v>
      </c>
    </row>
    <row r="21" spans="1:5" ht="15.5" x14ac:dyDescent="0.35">
      <c r="A21" s="4" t="s">
        <v>24</v>
      </c>
      <c r="B21" s="5">
        <v>27.09</v>
      </c>
      <c r="C21" s="5">
        <v>72.91</v>
      </c>
      <c r="D21" s="5">
        <v>15.97632816413703</v>
      </c>
    </row>
    <row r="22" spans="1:5" ht="15.5" x14ac:dyDescent="0.35">
      <c r="A22" s="4" t="s">
        <v>25</v>
      </c>
      <c r="B22" s="5">
        <v>28.25</v>
      </c>
      <c r="C22" s="5">
        <v>71.75</v>
      </c>
      <c r="D22" s="5">
        <v>17.922227798836765</v>
      </c>
    </row>
    <row r="23" spans="1:5" ht="15.5" x14ac:dyDescent="0.35">
      <c r="A23" s="4" t="s">
        <v>26</v>
      </c>
      <c r="B23" s="5">
        <v>25.68</v>
      </c>
      <c r="C23" s="5">
        <v>74.319999999999993</v>
      </c>
      <c r="D23" s="5">
        <v>19.20023012598147</v>
      </c>
    </row>
    <row r="24" spans="1:5" ht="15.5" x14ac:dyDescent="0.35">
      <c r="A24" s="4" t="s">
        <v>27</v>
      </c>
      <c r="B24" s="5">
        <v>24.27</v>
      </c>
      <c r="C24" s="5">
        <v>75.73</v>
      </c>
      <c r="D24" s="5">
        <v>17.293549937532809</v>
      </c>
    </row>
    <row r="25" spans="1:5" ht="15.5" x14ac:dyDescent="0.35">
      <c r="A25" s="4" t="s">
        <v>28</v>
      </c>
      <c r="B25" s="5">
        <v>11.74</v>
      </c>
      <c r="C25" s="5">
        <v>88.26</v>
      </c>
      <c r="D25" s="5">
        <v>21.658118915844163</v>
      </c>
    </row>
    <row r="26" spans="1:5" ht="15.5" x14ac:dyDescent="0.35">
      <c r="A26" s="4" t="s">
        <v>29</v>
      </c>
      <c r="B26" s="5">
        <v>30.93</v>
      </c>
      <c r="C26" s="5">
        <v>69.069999999999993</v>
      </c>
      <c r="D26" s="5">
        <v>12.80975337263088</v>
      </c>
    </row>
    <row r="27" spans="1:5" ht="15.5" x14ac:dyDescent="0.35">
      <c r="A27" s="4" t="s">
        <v>30</v>
      </c>
      <c r="B27" s="5">
        <v>27.62</v>
      </c>
      <c r="C27" s="5">
        <v>72.38</v>
      </c>
      <c r="D27" s="5">
        <v>12.540942971134244</v>
      </c>
    </row>
    <row r="28" spans="1:5" ht="15.5" x14ac:dyDescent="0.35">
      <c r="A28" s="4" t="s">
        <v>31</v>
      </c>
      <c r="B28" s="5">
        <v>33.18</v>
      </c>
      <c r="C28" s="5">
        <v>66.819999999999993</v>
      </c>
      <c r="D28" s="5">
        <v>15.439530599167393</v>
      </c>
    </row>
    <row r="29" spans="1:5" ht="15.5" x14ac:dyDescent="0.35">
      <c r="A29" s="4" t="s">
        <v>32</v>
      </c>
      <c r="B29" s="5">
        <v>13.18</v>
      </c>
      <c r="C29" s="5">
        <v>86.82</v>
      </c>
      <c r="D29" s="5">
        <v>16.863654389742909</v>
      </c>
    </row>
    <row r="30" spans="1:5" ht="15.5" x14ac:dyDescent="0.35">
      <c r="A30" s="4" t="s">
        <v>33</v>
      </c>
      <c r="B30" s="5">
        <v>24.07</v>
      </c>
      <c r="C30" s="5">
        <v>75.930000000000007</v>
      </c>
      <c r="D30" s="5">
        <v>13.884012256016899</v>
      </c>
    </row>
    <row r="31" spans="1:5" ht="15.5" x14ac:dyDescent="0.35">
      <c r="A31" s="4" t="s">
        <v>34</v>
      </c>
      <c r="B31" s="5">
        <v>27.24</v>
      </c>
      <c r="C31" s="5">
        <v>72.760000000000005</v>
      </c>
      <c r="D31" s="5">
        <v>15.631483150522433</v>
      </c>
    </row>
    <row r="32" spans="1:5" ht="15.5" x14ac:dyDescent="0.35">
      <c r="A32" s="4" t="s">
        <v>35</v>
      </c>
      <c r="B32" s="5">
        <v>20.45</v>
      </c>
      <c r="C32" s="5">
        <v>79.55</v>
      </c>
      <c r="D32" s="5">
        <v>19.949595042417592</v>
      </c>
    </row>
    <row r="33" spans="1:5" ht="15.5" x14ac:dyDescent="0.35">
      <c r="A33" s="4" t="s">
        <v>36</v>
      </c>
      <c r="B33" s="5">
        <v>16.760000000000002</v>
      </c>
      <c r="C33" s="5">
        <v>83.24</v>
      </c>
      <c r="D33" s="5">
        <v>33.790921502197122</v>
      </c>
      <c r="E33" s="4" t="s">
        <v>83</v>
      </c>
    </row>
    <row r="34" spans="1:5" ht="15.5" x14ac:dyDescent="0.35">
      <c r="A34" s="4" t="s">
        <v>37</v>
      </c>
      <c r="B34" s="5">
        <v>15.48</v>
      </c>
      <c r="C34" s="5">
        <v>84.52</v>
      </c>
      <c r="D34" s="5">
        <v>29.420954000121952</v>
      </c>
      <c r="E34" s="4" t="s">
        <v>83</v>
      </c>
    </row>
    <row r="35" spans="1:5" ht="15.5" x14ac:dyDescent="0.35">
      <c r="A35" s="4" t="s">
        <v>38</v>
      </c>
      <c r="B35" s="5">
        <v>17.29</v>
      </c>
      <c r="C35" s="5">
        <v>82.71</v>
      </c>
      <c r="D35" s="5">
        <v>39.929826910338832</v>
      </c>
      <c r="E35" s="4" t="s">
        <v>83</v>
      </c>
    </row>
    <row r="36" spans="1:5" ht="15.5" x14ac:dyDescent="0.35">
      <c r="A36" s="4" t="s">
        <v>39</v>
      </c>
      <c r="B36" s="5">
        <v>27.06</v>
      </c>
      <c r="C36" s="5">
        <v>72.94</v>
      </c>
      <c r="D36" s="5">
        <v>34.474188322121648</v>
      </c>
      <c r="E36" s="4" t="s">
        <v>83</v>
      </c>
    </row>
    <row r="37" spans="1:5" ht="15.5" x14ac:dyDescent="0.35">
      <c r="A37" s="4" t="s">
        <v>40</v>
      </c>
      <c r="B37" s="5">
        <v>26.09</v>
      </c>
      <c r="C37" s="5">
        <v>73.91</v>
      </c>
      <c r="D37" s="5">
        <v>28.546082815909301</v>
      </c>
      <c r="E37" s="4" t="s">
        <v>83</v>
      </c>
    </row>
    <row r="38" spans="1:5" ht="15.5" x14ac:dyDescent="0.35">
      <c r="A38" s="4" t="s">
        <v>41</v>
      </c>
      <c r="B38" s="5">
        <v>23.53</v>
      </c>
      <c r="C38" s="5">
        <v>76.47</v>
      </c>
      <c r="D38" s="5">
        <v>22.314497413189784</v>
      </c>
    </row>
    <row r="39" spans="1:5" ht="15.5" x14ac:dyDescent="0.35">
      <c r="A39" s="4" t="s">
        <v>42</v>
      </c>
      <c r="B39" s="5">
        <v>20.76</v>
      </c>
      <c r="C39" s="5">
        <v>79.239999999999995</v>
      </c>
      <c r="D39" s="5">
        <v>36.55633847331498</v>
      </c>
      <c r="E39" s="4" t="s">
        <v>83</v>
      </c>
    </row>
    <row r="40" spans="1:5" ht="15.5" x14ac:dyDescent="0.35">
      <c r="A40" s="4" t="s">
        <v>43</v>
      </c>
      <c r="B40" s="5">
        <v>24.57</v>
      </c>
      <c r="C40" s="5">
        <v>75.430000000000007</v>
      </c>
      <c r="D40" s="5">
        <v>22.072541955203569</v>
      </c>
    </row>
    <row r="41" spans="1:5" ht="15.5" x14ac:dyDescent="0.35">
      <c r="A41" s="4" t="s">
        <v>44</v>
      </c>
      <c r="B41" s="5" t="s">
        <v>84</v>
      </c>
      <c r="C41" s="5" t="s">
        <v>84</v>
      </c>
      <c r="D41" s="5">
        <v>68.086725632652133</v>
      </c>
    </row>
    <row r="42" spans="1:5" ht="15.5" hidden="1" x14ac:dyDescent="0.35">
      <c r="A42" s="4" t="s">
        <v>45</v>
      </c>
      <c r="B42" s="5">
        <v>24.46</v>
      </c>
      <c r="C42" s="5">
        <v>75.540000000000006</v>
      </c>
      <c r="D42" s="5"/>
    </row>
    <row r="44" spans="1:5" ht="15.5" x14ac:dyDescent="0.35">
      <c r="A44" s="4" t="s">
        <v>85</v>
      </c>
    </row>
    <row r="46" spans="1:5" ht="15.5" x14ac:dyDescent="0.35">
      <c r="D46" s="9">
        <v>40660604.999998726</v>
      </c>
    </row>
    <row r="47" spans="1:5" ht="15.5" x14ac:dyDescent="0.35">
      <c r="D47" s="9">
        <v>40485309.000001431</v>
      </c>
    </row>
    <row r="48" spans="1:5" ht="15.5" x14ac:dyDescent="0.35">
      <c r="D48" s="9">
        <v>40300474.000001721</v>
      </c>
    </row>
    <row r="49" spans="4:4" ht="15.5" x14ac:dyDescent="0.35">
      <c r="D49" s="9">
        <v>40106454.946722746</v>
      </c>
    </row>
    <row r="50" spans="4:4" ht="15.5" x14ac:dyDescent="0.35">
      <c r="D50" s="9">
        <v>39839393.838448524</v>
      </c>
    </row>
  </sheetData>
  <mergeCells count="1">
    <mergeCell ref="A1:D2"/>
  </mergeCells>
  <conditionalFormatting sqref="D4:D41">
    <cfRule type="cellIs" dxfId="0" priority="1" operator="greaterThan">
      <formula>25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0"/>
  <sheetViews>
    <sheetView zoomScale="87" zoomScaleNormal="87" workbookViewId="0">
      <selection activeCell="D25" sqref="D25"/>
    </sheetView>
  </sheetViews>
  <sheetFormatPr defaultColWidth="11.25" defaultRowHeight="15" customHeight="1" x14ac:dyDescent="0.35"/>
  <cols>
    <col min="1" max="1" width="31.33203125" customWidth="1"/>
    <col min="2" max="3" width="15.08203125" customWidth="1"/>
    <col min="4" max="26" width="8.5" customWidth="1"/>
  </cols>
  <sheetData>
    <row r="1" spans="1:3" ht="15" customHeight="1" x14ac:dyDescent="0.35">
      <c r="A1" s="44" t="s">
        <v>86</v>
      </c>
      <c r="B1" s="45"/>
      <c r="C1" s="46"/>
    </row>
    <row r="2" spans="1:3" ht="15.5" x14ac:dyDescent="0.35">
      <c r="A2" s="47"/>
      <c r="B2" s="48"/>
      <c r="C2" s="49"/>
    </row>
    <row r="3" spans="1:3" ht="15.5" x14ac:dyDescent="0.35">
      <c r="A3" s="2" t="s">
        <v>1</v>
      </c>
      <c r="B3" s="3" t="s">
        <v>87</v>
      </c>
      <c r="C3" s="3" t="s">
        <v>88</v>
      </c>
    </row>
    <row r="4" spans="1:3" ht="15.5" x14ac:dyDescent="0.35">
      <c r="A4" s="4" t="s">
        <v>7</v>
      </c>
      <c r="B4" s="5">
        <v>45.58</v>
      </c>
      <c r="C4" s="5">
        <v>54.42</v>
      </c>
    </row>
    <row r="5" spans="1:3" ht="15.5" x14ac:dyDescent="0.35">
      <c r="A5" s="4" t="s">
        <v>8</v>
      </c>
      <c r="B5" s="5">
        <v>73.36</v>
      </c>
      <c r="C5" s="5">
        <v>26.64</v>
      </c>
    </row>
    <row r="6" spans="1:3" ht="15.5" x14ac:dyDescent="0.35">
      <c r="A6" s="4" t="s">
        <v>9</v>
      </c>
      <c r="B6" s="5">
        <v>48.36</v>
      </c>
      <c r="C6" s="5">
        <v>51.64</v>
      </c>
    </row>
    <row r="7" spans="1:3" ht="15.5" x14ac:dyDescent="0.35">
      <c r="A7" s="4" t="s">
        <v>10</v>
      </c>
      <c r="B7" s="5">
        <v>56.85</v>
      </c>
      <c r="C7" s="5">
        <v>43.15</v>
      </c>
    </row>
    <row r="8" spans="1:3" ht="15.5" x14ac:dyDescent="0.35">
      <c r="A8" s="4" t="s">
        <v>11</v>
      </c>
      <c r="B8" s="5">
        <v>48.54</v>
      </c>
      <c r="C8" s="5">
        <v>51.46</v>
      </c>
    </row>
    <row r="9" spans="1:3" ht="15.5" x14ac:dyDescent="0.35">
      <c r="A9" s="4" t="s">
        <v>12</v>
      </c>
      <c r="B9" s="5">
        <v>71.010000000000005</v>
      </c>
      <c r="C9" s="5">
        <v>28.99</v>
      </c>
    </row>
    <row r="10" spans="1:3" ht="15.5" x14ac:dyDescent="0.35">
      <c r="A10" s="4" t="s">
        <v>13</v>
      </c>
      <c r="B10" s="5">
        <v>41.29</v>
      </c>
      <c r="C10" s="5">
        <v>58.71</v>
      </c>
    </row>
    <row r="11" spans="1:3" ht="15.5" x14ac:dyDescent="0.35">
      <c r="A11" s="4" t="s">
        <v>14</v>
      </c>
      <c r="B11" s="5">
        <v>47.03</v>
      </c>
      <c r="C11" s="5">
        <v>52.97</v>
      </c>
    </row>
    <row r="12" spans="1:3" ht="15.5" x14ac:dyDescent="0.35">
      <c r="A12" s="4" t="s">
        <v>15</v>
      </c>
      <c r="B12" s="5">
        <v>40.020000000000003</v>
      </c>
      <c r="C12" s="5">
        <v>59.98</v>
      </c>
    </row>
    <row r="13" spans="1:3" ht="15.5" x14ac:dyDescent="0.35">
      <c r="A13" s="4" t="s">
        <v>16</v>
      </c>
      <c r="B13" s="5">
        <v>59.02</v>
      </c>
      <c r="C13" s="5">
        <v>40.98</v>
      </c>
    </row>
    <row r="14" spans="1:3" ht="15.5" x14ac:dyDescent="0.35">
      <c r="A14" s="4" t="s">
        <v>17</v>
      </c>
      <c r="B14" s="5">
        <v>89.78</v>
      </c>
      <c r="C14" s="5">
        <v>10.220000000000001</v>
      </c>
    </row>
    <row r="15" spans="1:3" ht="15.5" x14ac:dyDescent="0.35">
      <c r="A15" s="4" t="s">
        <v>18</v>
      </c>
      <c r="B15" s="5">
        <v>43.01</v>
      </c>
      <c r="C15" s="5">
        <v>56.99</v>
      </c>
    </row>
    <row r="16" spans="1:3" ht="15.5" x14ac:dyDescent="0.35">
      <c r="A16" s="4" t="s">
        <v>19</v>
      </c>
      <c r="B16" s="5">
        <v>74.849999999999994</v>
      </c>
      <c r="C16" s="5">
        <v>25.15</v>
      </c>
    </row>
    <row r="17" spans="1:3" ht="15.5" x14ac:dyDescent="0.35">
      <c r="A17" s="4" t="s">
        <v>20</v>
      </c>
      <c r="B17" s="5">
        <v>61.44</v>
      </c>
      <c r="C17" s="5">
        <v>38.56</v>
      </c>
    </row>
    <row r="18" spans="1:3" ht="15.5" x14ac:dyDescent="0.35">
      <c r="A18" s="4" t="s">
        <v>21</v>
      </c>
      <c r="B18" s="5">
        <v>83.88</v>
      </c>
      <c r="C18" s="5">
        <v>16.12</v>
      </c>
    </row>
    <row r="19" spans="1:3" ht="15.5" x14ac:dyDescent="0.35">
      <c r="A19" s="4" t="s">
        <v>22</v>
      </c>
      <c r="B19" s="5">
        <v>65.89</v>
      </c>
      <c r="C19" s="5">
        <v>34.11</v>
      </c>
    </row>
    <row r="20" spans="1:3" ht="15.5" x14ac:dyDescent="0.35">
      <c r="A20" s="4" t="s">
        <v>23</v>
      </c>
      <c r="B20" s="5">
        <v>63.7</v>
      </c>
      <c r="C20" s="5">
        <v>36.299999999999997</v>
      </c>
    </row>
    <row r="21" spans="1:3" ht="15.5" x14ac:dyDescent="0.35">
      <c r="A21" s="4" t="s">
        <v>24</v>
      </c>
      <c r="B21" s="5">
        <v>70.25</v>
      </c>
      <c r="C21" s="5">
        <v>29.75</v>
      </c>
    </row>
    <row r="22" spans="1:3" ht="15.5" x14ac:dyDescent="0.35">
      <c r="A22" s="4" t="s">
        <v>25</v>
      </c>
      <c r="B22" s="5">
        <v>88.93</v>
      </c>
      <c r="C22" s="5">
        <v>11.07</v>
      </c>
    </row>
    <row r="23" spans="1:3" ht="15.5" x14ac:dyDescent="0.35">
      <c r="A23" s="4" t="s">
        <v>26</v>
      </c>
      <c r="B23" s="5">
        <v>59.69</v>
      </c>
      <c r="C23" s="5">
        <v>40.31</v>
      </c>
    </row>
    <row r="24" spans="1:3" ht="15.5" x14ac:dyDescent="0.35">
      <c r="A24" s="4" t="s">
        <v>27</v>
      </c>
      <c r="B24" s="5">
        <v>76.12</v>
      </c>
      <c r="C24" s="5">
        <v>23.88</v>
      </c>
    </row>
    <row r="25" spans="1:3" ht="15.5" x14ac:dyDescent="0.35">
      <c r="A25" s="4" t="s">
        <v>28</v>
      </c>
      <c r="B25" s="5">
        <v>99.4</v>
      </c>
      <c r="C25" s="5">
        <v>0.6</v>
      </c>
    </row>
    <row r="26" spans="1:3" ht="15.5" x14ac:dyDescent="0.35">
      <c r="A26" s="4" t="s">
        <v>29</v>
      </c>
      <c r="B26" s="5">
        <v>91.05</v>
      </c>
      <c r="C26" s="5">
        <v>8.9499999999999993</v>
      </c>
    </row>
    <row r="27" spans="1:3" ht="15.5" x14ac:dyDescent="0.35">
      <c r="A27" s="4" t="s">
        <v>30</v>
      </c>
      <c r="B27" s="5">
        <v>70.22</v>
      </c>
      <c r="C27" s="5">
        <v>29.78</v>
      </c>
    </row>
    <row r="28" spans="1:3" ht="15.5" x14ac:dyDescent="0.35">
      <c r="A28" s="4" t="s">
        <v>31</v>
      </c>
      <c r="B28" s="5">
        <v>94.2</v>
      </c>
      <c r="C28" s="5">
        <v>5.8</v>
      </c>
    </row>
    <row r="29" spans="1:3" ht="15.5" x14ac:dyDescent="0.35">
      <c r="A29" s="4" t="s">
        <v>32</v>
      </c>
      <c r="B29" s="5">
        <v>22.17</v>
      </c>
      <c r="C29" s="5">
        <v>77.83</v>
      </c>
    </row>
    <row r="30" spans="1:3" ht="15.5" x14ac:dyDescent="0.35">
      <c r="A30" s="4" t="s">
        <v>33</v>
      </c>
      <c r="B30" s="5">
        <v>50.85</v>
      </c>
      <c r="C30" s="5">
        <v>49.15</v>
      </c>
    </row>
    <row r="31" spans="1:3" ht="15.5" x14ac:dyDescent="0.35">
      <c r="A31" s="4" t="s">
        <v>34</v>
      </c>
      <c r="B31" s="5">
        <v>76.819999999999993</v>
      </c>
      <c r="C31" s="5">
        <v>23.18</v>
      </c>
    </row>
    <row r="32" spans="1:3" ht="15.5" x14ac:dyDescent="0.35">
      <c r="A32" s="4" t="s">
        <v>35</v>
      </c>
      <c r="B32" s="5">
        <v>86.38</v>
      </c>
      <c r="C32" s="5">
        <v>13.62</v>
      </c>
    </row>
    <row r="33" spans="1:3" ht="15.5" x14ac:dyDescent="0.35">
      <c r="A33" s="4" t="s">
        <v>36</v>
      </c>
      <c r="B33" s="5">
        <v>91.87</v>
      </c>
      <c r="C33" s="5">
        <v>8.1300000000000008</v>
      </c>
    </row>
    <row r="34" spans="1:3" ht="15.5" x14ac:dyDescent="0.35">
      <c r="A34" s="4" t="s">
        <v>37</v>
      </c>
      <c r="B34" s="5">
        <v>86.49</v>
      </c>
      <c r="C34" s="5">
        <v>13.51</v>
      </c>
    </row>
    <row r="35" spans="1:3" ht="15.5" x14ac:dyDescent="0.35">
      <c r="A35" s="4" t="s">
        <v>38</v>
      </c>
      <c r="B35" s="5">
        <v>98.18</v>
      </c>
      <c r="C35" s="5">
        <v>1.82</v>
      </c>
    </row>
    <row r="36" spans="1:3" ht="15.5" x14ac:dyDescent="0.35">
      <c r="A36" s="4" t="s">
        <v>39</v>
      </c>
      <c r="B36" s="5">
        <v>94.28</v>
      </c>
      <c r="C36" s="5">
        <v>5.72</v>
      </c>
    </row>
    <row r="37" spans="1:3" ht="15.5" x14ac:dyDescent="0.35">
      <c r="A37" s="4" t="s">
        <v>40</v>
      </c>
      <c r="B37" s="5">
        <v>98.61</v>
      </c>
      <c r="C37" s="5">
        <v>1.39</v>
      </c>
    </row>
    <row r="38" spans="1:3" ht="15.5" x14ac:dyDescent="0.35">
      <c r="A38" s="4" t="s">
        <v>41</v>
      </c>
      <c r="B38" s="5">
        <v>97.58</v>
      </c>
      <c r="C38" s="5">
        <v>2.42</v>
      </c>
    </row>
    <row r="39" spans="1:3" ht="15.5" x14ac:dyDescent="0.35">
      <c r="A39" s="4" t="s">
        <v>42</v>
      </c>
      <c r="B39" s="5">
        <v>100</v>
      </c>
      <c r="C39" s="5">
        <v>0</v>
      </c>
    </row>
    <row r="40" spans="1:3" ht="15.5" x14ac:dyDescent="0.35">
      <c r="A40" s="4" t="s">
        <v>43</v>
      </c>
      <c r="B40" s="5">
        <v>76.92</v>
      </c>
      <c r="C40" s="5">
        <v>23.08</v>
      </c>
    </row>
    <row r="41" spans="1:3" ht="15.5" x14ac:dyDescent="0.35">
      <c r="A41" s="4" t="s">
        <v>44</v>
      </c>
      <c r="B41" s="5">
        <v>98.14</v>
      </c>
      <c r="C41" s="5">
        <v>1.86</v>
      </c>
    </row>
    <row r="42" spans="1:3" ht="15.5" hidden="1" x14ac:dyDescent="0.35">
      <c r="A42" s="4" t="s">
        <v>45</v>
      </c>
      <c r="B42" s="5">
        <v>66.14</v>
      </c>
      <c r="C42" s="5">
        <v>33.86</v>
      </c>
    </row>
    <row r="46" spans="1:3" ht="15.5" x14ac:dyDescent="0.35">
      <c r="C46" s="9">
        <v>40660604.999998726</v>
      </c>
    </row>
    <row r="47" spans="1:3" ht="15.5" x14ac:dyDescent="0.35">
      <c r="C47" s="9">
        <v>40485309.000001431</v>
      </c>
    </row>
    <row r="48" spans="1:3" ht="15.5" x14ac:dyDescent="0.35">
      <c r="C48" s="9">
        <v>40300474.000001721</v>
      </c>
    </row>
    <row r="49" spans="3:3" ht="15.5" x14ac:dyDescent="0.35">
      <c r="C49" s="9">
        <v>40106454.946722746</v>
      </c>
    </row>
    <row r="50" spans="3:3" ht="15.5" x14ac:dyDescent="0.35">
      <c r="C50" s="9">
        <v>39839393.838448524</v>
      </c>
    </row>
  </sheetData>
  <mergeCells count="1">
    <mergeCell ref="A1:C2"/>
  </mergeCells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42"/>
  <sheetViews>
    <sheetView topLeftCell="G1" zoomScale="79" workbookViewId="0">
      <selection activeCell="R7" sqref="R7"/>
    </sheetView>
  </sheetViews>
  <sheetFormatPr defaultColWidth="11.25" defaultRowHeight="15" customHeight="1" x14ac:dyDescent="0.35"/>
  <cols>
    <col min="1" max="1" width="26.58203125" customWidth="1"/>
    <col min="2" max="16" width="10.08203125" customWidth="1"/>
    <col min="17" max="26" width="8.5" customWidth="1"/>
  </cols>
  <sheetData>
    <row r="1" spans="1:27" ht="15.5" x14ac:dyDescent="0.35">
      <c r="A1" s="42" t="s">
        <v>89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1"/>
      <c r="Q1" s="6"/>
    </row>
    <row r="2" spans="1:27" ht="15.5" x14ac:dyDescent="0.35">
      <c r="A2" s="1"/>
      <c r="B2" s="43">
        <v>2020</v>
      </c>
      <c r="C2" s="39"/>
      <c r="D2" s="41"/>
      <c r="E2" s="43">
        <v>2021</v>
      </c>
      <c r="F2" s="39"/>
      <c r="G2" s="41"/>
      <c r="H2" s="43">
        <v>2022</v>
      </c>
      <c r="I2" s="39"/>
      <c r="J2" s="41"/>
      <c r="K2" s="43">
        <v>2023</v>
      </c>
      <c r="L2" s="39"/>
      <c r="M2" s="41"/>
      <c r="N2" s="43">
        <v>2024</v>
      </c>
      <c r="O2" s="39"/>
      <c r="P2" s="41"/>
      <c r="Q2" s="6"/>
    </row>
    <row r="3" spans="1:27" ht="15.5" x14ac:dyDescent="0.35">
      <c r="A3" s="2" t="s">
        <v>1</v>
      </c>
      <c r="B3" s="3" t="s">
        <v>90</v>
      </c>
      <c r="C3" s="3" t="s">
        <v>91</v>
      </c>
      <c r="D3" s="3" t="s">
        <v>92</v>
      </c>
      <c r="E3" s="3" t="s">
        <v>93</v>
      </c>
      <c r="F3" s="19" t="s">
        <v>94</v>
      </c>
      <c r="G3" s="3" t="s">
        <v>95</v>
      </c>
      <c r="H3" s="3" t="s">
        <v>96</v>
      </c>
      <c r="I3" s="3" t="s">
        <v>97</v>
      </c>
      <c r="J3" s="3" t="s">
        <v>98</v>
      </c>
      <c r="K3" s="3" t="s">
        <v>99</v>
      </c>
      <c r="L3" s="3" t="s">
        <v>100</v>
      </c>
      <c r="M3" s="3" t="s">
        <v>101</v>
      </c>
      <c r="N3" s="19" t="s">
        <v>102</v>
      </c>
      <c r="O3" s="3" t="s">
        <v>103</v>
      </c>
      <c r="P3" s="19" t="s">
        <v>104</v>
      </c>
      <c r="Q3" s="6"/>
    </row>
    <row r="4" spans="1:27" ht="15.5" x14ac:dyDescent="0.35">
      <c r="A4" s="4" t="s">
        <v>7</v>
      </c>
      <c r="B4" s="8">
        <v>33.49</v>
      </c>
      <c r="C4" s="8">
        <v>57.36</v>
      </c>
      <c r="D4" s="8">
        <v>9.15</v>
      </c>
      <c r="E4" s="8">
        <v>34.36</v>
      </c>
      <c r="F4" s="8">
        <v>58.09</v>
      </c>
      <c r="G4" s="8">
        <v>7.55</v>
      </c>
      <c r="H4" s="8">
        <v>29.85</v>
      </c>
      <c r="I4" s="8">
        <v>53.15</v>
      </c>
      <c r="J4" s="8">
        <v>16.989999999999998</v>
      </c>
      <c r="K4" s="8">
        <v>34.200000000000003</v>
      </c>
      <c r="L4" s="8">
        <v>44.04</v>
      </c>
      <c r="M4" s="8">
        <v>21.76</v>
      </c>
      <c r="N4" s="15">
        <v>26.37</v>
      </c>
      <c r="O4" s="15">
        <v>64.11</v>
      </c>
      <c r="P4" s="15">
        <v>9.5299999999999994</v>
      </c>
      <c r="Q4" s="6"/>
    </row>
    <row r="5" spans="1:27" ht="15.5" x14ac:dyDescent="0.35">
      <c r="A5" s="4" t="s">
        <v>8</v>
      </c>
      <c r="B5" s="8">
        <v>40.04</v>
      </c>
      <c r="C5" s="8">
        <v>46.78</v>
      </c>
      <c r="D5" s="8">
        <v>13.18</v>
      </c>
      <c r="E5" s="8">
        <v>32.58</v>
      </c>
      <c r="F5" s="8">
        <v>61.39</v>
      </c>
      <c r="G5" s="8">
        <v>6.04</v>
      </c>
      <c r="H5" s="8">
        <v>37.56</v>
      </c>
      <c r="I5" s="8">
        <v>56.24</v>
      </c>
      <c r="J5" s="8">
        <v>6.2</v>
      </c>
      <c r="K5" s="8">
        <v>29.57</v>
      </c>
      <c r="L5" s="8">
        <v>66.290000000000006</v>
      </c>
      <c r="M5" s="8">
        <v>4.1399999999999997</v>
      </c>
      <c r="N5" s="15">
        <v>37.17</v>
      </c>
      <c r="O5" s="15">
        <v>54.33</v>
      </c>
      <c r="P5" s="15">
        <v>8.5</v>
      </c>
      <c r="Q5" s="6"/>
      <c r="S5">
        <v>2020</v>
      </c>
      <c r="T5">
        <v>2021</v>
      </c>
      <c r="U5">
        <v>2022</v>
      </c>
      <c r="V5">
        <v>2023</v>
      </c>
      <c r="W5">
        <v>2024</v>
      </c>
      <c r="AA5">
        <v>2024</v>
      </c>
    </row>
    <row r="6" spans="1:27" ht="15.5" x14ac:dyDescent="0.35">
      <c r="A6" s="4" t="s">
        <v>9</v>
      </c>
      <c r="B6" s="8">
        <v>33.299999999999997</v>
      </c>
      <c r="C6" s="8">
        <v>53.79</v>
      </c>
      <c r="D6" s="8">
        <v>12.91</v>
      </c>
      <c r="E6" s="8">
        <v>40.299999999999997</v>
      </c>
      <c r="F6" s="8">
        <v>48.58</v>
      </c>
      <c r="G6" s="8">
        <v>11.13</v>
      </c>
      <c r="H6" s="8">
        <v>43.13</v>
      </c>
      <c r="I6" s="8">
        <v>45.37</v>
      </c>
      <c r="J6" s="8">
        <v>11.5</v>
      </c>
      <c r="K6" s="8">
        <v>33.54</v>
      </c>
      <c r="L6" s="8">
        <v>60.29</v>
      </c>
      <c r="M6" s="8">
        <v>6.17</v>
      </c>
      <c r="N6" s="15">
        <v>39.630000000000003</v>
      </c>
      <c r="O6" s="15">
        <v>42.5</v>
      </c>
      <c r="P6" s="15">
        <v>17.88</v>
      </c>
      <c r="Q6" s="6"/>
      <c r="R6" t="s">
        <v>171</v>
      </c>
      <c r="S6" s="33">
        <v>39.53</v>
      </c>
      <c r="T6" s="33">
        <v>42.76</v>
      </c>
      <c r="U6" s="33">
        <v>34.92</v>
      </c>
      <c r="V6" s="33">
        <v>32.549999999999997</v>
      </c>
      <c r="W6" s="29">
        <v>39.049999999999997</v>
      </c>
      <c r="Z6" t="s">
        <v>170</v>
      </c>
      <c r="AA6" s="29">
        <v>39.049999999999997</v>
      </c>
    </row>
    <row r="7" spans="1:27" ht="15.5" x14ac:dyDescent="0.35">
      <c r="A7" s="4" t="s">
        <v>10</v>
      </c>
      <c r="B7" s="8">
        <v>39.53</v>
      </c>
      <c r="C7" s="8">
        <v>35.32</v>
      </c>
      <c r="D7" s="8">
        <v>25.15</v>
      </c>
      <c r="E7" s="8">
        <v>42.76</v>
      </c>
      <c r="F7" s="8">
        <v>37.76</v>
      </c>
      <c r="G7" s="8">
        <v>19.48</v>
      </c>
      <c r="H7" s="8">
        <v>34.92</v>
      </c>
      <c r="I7" s="8">
        <v>46.56</v>
      </c>
      <c r="J7" s="8">
        <v>18.52</v>
      </c>
      <c r="K7" s="8">
        <v>32.549999999999997</v>
      </c>
      <c r="L7" s="8">
        <v>55.45</v>
      </c>
      <c r="M7" s="8">
        <v>12</v>
      </c>
      <c r="N7" s="15">
        <v>39.049999999999997</v>
      </c>
      <c r="O7" s="15">
        <v>44.38</v>
      </c>
      <c r="P7" s="15">
        <v>16.57</v>
      </c>
      <c r="R7" t="s">
        <v>170</v>
      </c>
      <c r="S7" s="33">
        <v>35.32</v>
      </c>
      <c r="T7" s="33">
        <v>37.76</v>
      </c>
      <c r="U7" s="33">
        <v>46.56</v>
      </c>
      <c r="V7" s="33">
        <v>55.45</v>
      </c>
      <c r="W7" s="29">
        <v>44.38</v>
      </c>
      <c r="Z7" t="s">
        <v>171</v>
      </c>
      <c r="AA7" s="29">
        <v>44.38</v>
      </c>
    </row>
    <row r="8" spans="1:27" ht="15.5" x14ac:dyDescent="0.35">
      <c r="A8" s="4" t="s">
        <v>11</v>
      </c>
      <c r="B8" s="8">
        <v>43.72</v>
      </c>
      <c r="C8" s="8">
        <v>43.45</v>
      </c>
      <c r="D8" s="8">
        <v>12.82</v>
      </c>
      <c r="E8" s="8">
        <v>41.21</v>
      </c>
      <c r="F8" s="8">
        <v>39.14</v>
      </c>
      <c r="G8" s="8">
        <v>19.649999999999999</v>
      </c>
      <c r="H8" s="8">
        <v>43.07</v>
      </c>
      <c r="I8" s="8">
        <v>32.97</v>
      </c>
      <c r="J8" s="8">
        <v>23.96</v>
      </c>
      <c r="K8" s="8">
        <v>44.44</v>
      </c>
      <c r="L8" s="8">
        <v>42.9</v>
      </c>
      <c r="M8" s="8">
        <v>12.66</v>
      </c>
      <c r="N8" s="15">
        <v>44.15</v>
      </c>
      <c r="O8" s="15">
        <v>40.76</v>
      </c>
      <c r="P8" s="15">
        <v>15.08</v>
      </c>
      <c r="Q8" s="6"/>
      <c r="R8" t="s">
        <v>172</v>
      </c>
      <c r="S8" s="33">
        <v>25.15</v>
      </c>
      <c r="T8" s="33">
        <v>19.48</v>
      </c>
      <c r="U8" s="33">
        <v>18.52</v>
      </c>
      <c r="V8" s="33">
        <v>12</v>
      </c>
      <c r="W8" s="29">
        <v>16.57</v>
      </c>
      <c r="Z8" t="s">
        <v>172</v>
      </c>
      <c r="AA8" s="29">
        <v>16.57</v>
      </c>
    </row>
    <row r="9" spans="1:27" ht="15.5" x14ac:dyDescent="0.35">
      <c r="A9" s="4" t="s">
        <v>12</v>
      </c>
      <c r="B9" s="8">
        <v>45.34</v>
      </c>
      <c r="C9" s="8">
        <v>31.61</v>
      </c>
      <c r="D9" s="8">
        <v>23.05</v>
      </c>
      <c r="E9" s="8">
        <v>45.76</v>
      </c>
      <c r="F9" s="8">
        <v>34.340000000000003</v>
      </c>
      <c r="G9" s="8">
        <v>19.899999999999999</v>
      </c>
      <c r="H9" s="8">
        <v>46.37</v>
      </c>
      <c r="I9" s="8">
        <v>31.87</v>
      </c>
      <c r="J9" s="8">
        <v>21.76</v>
      </c>
      <c r="K9" s="8">
        <v>41.1</v>
      </c>
      <c r="L9" s="8">
        <v>33.6</v>
      </c>
      <c r="M9" s="8">
        <v>25.29</v>
      </c>
      <c r="N9" s="15">
        <v>49.17</v>
      </c>
      <c r="O9" s="15">
        <v>30.89</v>
      </c>
      <c r="P9" s="15">
        <v>19.940000000000001</v>
      </c>
      <c r="Q9" s="6"/>
    </row>
    <row r="10" spans="1:27" ht="15.5" x14ac:dyDescent="0.35">
      <c r="A10" s="4" t="s">
        <v>13</v>
      </c>
      <c r="B10" s="8">
        <v>41.67</v>
      </c>
      <c r="C10" s="8">
        <v>31.56</v>
      </c>
      <c r="D10" s="8">
        <v>26.77</v>
      </c>
      <c r="E10" s="8">
        <v>41.52</v>
      </c>
      <c r="F10" s="8">
        <v>34.39</v>
      </c>
      <c r="G10" s="8">
        <v>24.08</v>
      </c>
      <c r="H10" s="8">
        <v>41.4</v>
      </c>
      <c r="I10" s="8">
        <v>39.07</v>
      </c>
      <c r="J10" s="8">
        <v>19.53</v>
      </c>
      <c r="K10" s="8">
        <v>45.48</v>
      </c>
      <c r="L10" s="8">
        <v>32.700000000000003</v>
      </c>
      <c r="M10" s="8">
        <v>21.82</v>
      </c>
      <c r="N10" s="15">
        <v>40.880000000000003</v>
      </c>
      <c r="O10" s="15">
        <v>35.909999999999997</v>
      </c>
      <c r="P10" s="15">
        <v>23.21</v>
      </c>
      <c r="Q10" s="6"/>
    </row>
    <row r="11" spans="1:27" ht="15.5" x14ac:dyDescent="0.35">
      <c r="A11" s="4" t="s">
        <v>14</v>
      </c>
      <c r="B11" s="8">
        <v>46.02</v>
      </c>
      <c r="C11" s="8">
        <v>40.99</v>
      </c>
      <c r="D11" s="8">
        <v>12.99</v>
      </c>
      <c r="E11" s="8">
        <v>44.11</v>
      </c>
      <c r="F11" s="8">
        <v>43.37</v>
      </c>
      <c r="G11" s="8">
        <v>12.51</v>
      </c>
      <c r="H11" s="8">
        <v>41.73</v>
      </c>
      <c r="I11" s="8">
        <v>34.630000000000003</v>
      </c>
      <c r="J11" s="8">
        <v>23.64</v>
      </c>
      <c r="K11" s="8">
        <v>42.57</v>
      </c>
      <c r="L11" s="8">
        <v>42.98</v>
      </c>
      <c r="M11" s="8">
        <v>14.45</v>
      </c>
      <c r="N11" s="15">
        <v>42.45</v>
      </c>
      <c r="O11" s="15">
        <v>44.17</v>
      </c>
      <c r="P11" s="15">
        <v>13.38</v>
      </c>
      <c r="Q11" s="6"/>
    </row>
    <row r="12" spans="1:27" ht="15.5" x14ac:dyDescent="0.35">
      <c r="A12" s="4" t="s">
        <v>15</v>
      </c>
      <c r="B12" s="8">
        <v>38.78</v>
      </c>
      <c r="C12" s="8">
        <v>32.82</v>
      </c>
      <c r="D12" s="8">
        <v>28.4</v>
      </c>
      <c r="E12" s="8">
        <v>47.4</v>
      </c>
      <c r="F12" s="8">
        <v>28.42</v>
      </c>
      <c r="G12" s="8">
        <v>24.18</v>
      </c>
      <c r="H12" s="8">
        <v>50.31</v>
      </c>
      <c r="I12" s="8">
        <v>27.28</v>
      </c>
      <c r="J12" s="8">
        <v>22.41</v>
      </c>
      <c r="K12" s="8">
        <v>46.09</v>
      </c>
      <c r="L12" s="8">
        <v>38.61</v>
      </c>
      <c r="M12" s="8">
        <v>15.29</v>
      </c>
      <c r="N12" s="15">
        <v>42.9</v>
      </c>
      <c r="O12" s="15">
        <v>39.770000000000003</v>
      </c>
      <c r="P12" s="15">
        <v>17.329999999999998</v>
      </c>
      <c r="Q12" s="6"/>
    </row>
    <row r="13" spans="1:27" ht="15.5" x14ac:dyDescent="0.35">
      <c r="A13" s="4" t="s">
        <v>16</v>
      </c>
      <c r="B13" s="8">
        <v>38.979999999999997</v>
      </c>
      <c r="C13" s="8">
        <v>41.61</v>
      </c>
      <c r="D13" s="8">
        <v>19.41</v>
      </c>
      <c r="E13" s="8">
        <v>40.64</v>
      </c>
      <c r="F13" s="8">
        <v>44.18</v>
      </c>
      <c r="G13" s="8">
        <v>15.18</v>
      </c>
      <c r="H13" s="8">
        <v>45.15</v>
      </c>
      <c r="I13" s="8">
        <v>33.659999999999997</v>
      </c>
      <c r="J13" s="8">
        <v>21.19</v>
      </c>
      <c r="K13" s="8">
        <v>38.71</v>
      </c>
      <c r="L13" s="8">
        <v>43.3</v>
      </c>
      <c r="M13" s="8">
        <v>17.989999999999998</v>
      </c>
      <c r="N13" s="15">
        <v>34.29</v>
      </c>
      <c r="O13" s="15">
        <v>39.4</v>
      </c>
      <c r="P13" s="15">
        <v>26.31</v>
      </c>
      <c r="Q13" s="6"/>
    </row>
    <row r="14" spans="1:27" ht="15.5" x14ac:dyDescent="0.35">
      <c r="A14" s="4" t="s">
        <v>17</v>
      </c>
      <c r="B14" s="8">
        <v>35.409999999999997</v>
      </c>
      <c r="C14" s="8">
        <v>50.43</v>
      </c>
      <c r="D14" s="8">
        <v>14.16</v>
      </c>
      <c r="E14" s="8">
        <v>36.06</v>
      </c>
      <c r="F14" s="8">
        <v>51.2</v>
      </c>
      <c r="G14" s="8">
        <v>12.75</v>
      </c>
      <c r="H14" s="8">
        <v>44.47</v>
      </c>
      <c r="I14" s="8">
        <v>42.07</v>
      </c>
      <c r="J14" s="8">
        <v>13.45</v>
      </c>
      <c r="K14" s="8">
        <v>34.619999999999997</v>
      </c>
      <c r="L14" s="8">
        <v>55.06</v>
      </c>
      <c r="M14" s="8">
        <v>10.33</v>
      </c>
      <c r="N14" s="15">
        <v>37.130000000000003</v>
      </c>
      <c r="O14" s="15">
        <v>54.37</v>
      </c>
      <c r="P14" s="15">
        <v>8.5</v>
      </c>
      <c r="Q14" s="6"/>
    </row>
    <row r="15" spans="1:27" ht="15.5" x14ac:dyDescent="0.35">
      <c r="A15" s="4" t="s">
        <v>18</v>
      </c>
      <c r="B15" s="8">
        <v>36.24</v>
      </c>
      <c r="C15" s="8">
        <v>48.8</v>
      </c>
      <c r="D15" s="8">
        <v>14.96</v>
      </c>
      <c r="E15" s="8">
        <v>41.22</v>
      </c>
      <c r="F15" s="8">
        <v>48.24</v>
      </c>
      <c r="G15" s="8">
        <v>10.54</v>
      </c>
      <c r="H15" s="8">
        <v>41.98</v>
      </c>
      <c r="I15" s="8">
        <v>46.22</v>
      </c>
      <c r="J15" s="8">
        <v>11.8</v>
      </c>
      <c r="K15" s="8">
        <v>37.99</v>
      </c>
      <c r="L15" s="8">
        <v>48.79</v>
      </c>
      <c r="M15" s="8">
        <v>13.22</v>
      </c>
      <c r="N15" s="15">
        <v>35.46</v>
      </c>
      <c r="O15" s="15">
        <v>51.74</v>
      </c>
      <c r="P15" s="15">
        <v>12.8</v>
      </c>
      <c r="Q15" s="6"/>
    </row>
    <row r="16" spans="1:27" ht="15.5" x14ac:dyDescent="0.35">
      <c r="A16" s="4" t="s">
        <v>19</v>
      </c>
      <c r="B16" s="8">
        <v>37.11</v>
      </c>
      <c r="C16" s="8">
        <v>47.93</v>
      </c>
      <c r="D16" s="8">
        <v>14.96</v>
      </c>
      <c r="E16" s="8">
        <v>45.99</v>
      </c>
      <c r="F16" s="8">
        <v>39.659999999999997</v>
      </c>
      <c r="G16" s="8">
        <v>14.35</v>
      </c>
      <c r="H16" s="8">
        <v>44.13</v>
      </c>
      <c r="I16" s="8">
        <v>45.45</v>
      </c>
      <c r="J16" s="8">
        <v>10.42</v>
      </c>
      <c r="K16" s="8">
        <v>42.4</v>
      </c>
      <c r="L16" s="8">
        <v>45.93</v>
      </c>
      <c r="M16" s="8">
        <v>11.68</v>
      </c>
      <c r="N16" s="15">
        <v>36.950000000000003</v>
      </c>
      <c r="O16" s="15">
        <v>39.74</v>
      </c>
      <c r="P16" s="15">
        <v>23.31</v>
      </c>
      <c r="Q16" s="6"/>
    </row>
    <row r="17" spans="1:17" ht="15.5" x14ac:dyDescent="0.35">
      <c r="A17" s="4" t="s">
        <v>20</v>
      </c>
      <c r="B17" s="8">
        <v>46.54</v>
      </c>
      <c r="C17" s="8">
        <v>38.26</v>
      </c>
      <c r="D17" s="8">
        <v>15.19</v>
      </c>
      <c r="E17" s="8">
        <v>40.99</v>
      </c>
      <c r="F17" s="8">
        <v>40.520000000000003</v>
      </c>
      <c r="G17" s="8">
        <v>18.489999999999998</v>
      </c>
      <c r="H17" s="8">
        <v>49.19</v>
      </c>
      <c r="I17" s="8">
        <v>33.950000000000003</v>
      </c>
      <c r="J17" s="8">
        <v>16.86</v>
      </c>
      <c r="K17" s="8">
        <v>44.47</v>
      </c>
      <c r="L17" s="8">
        <v>38.08</v>
      </c>
      <c r="M17" s="8">
        <v>17.45</v>
      </c>
      <c r="N17" s="15">
        <v>42.77</v>
      </c>
      <c r="O17" s="15">
        <v>36.340000000000003</v>
      </c>
      <c r="P17" s="15">
        <v>20.88</v>
      </c>
      <c r="Q17" s="6"/>
    </row>
    <row r="18" spans="1:17" ht="15.5" x14ac:dyDescent="0.35">
      <c r="A18" s="4" t="s">
        <v>21</v>
      </c>
      <c r="B18" s="8">
        <v>49.78</v>
      </c>
      <c r="C18" s="8">
        <v>13.69</v>
      </c>
      <c r="D18" s="8">
        <v>36.53</v>
      </c>
      <c r="E18" s="8">
        <v>49.1</v>
      </c>
      <c r="F18" s="8">
        <v>21.46</v>
      </c>
      <c r="G18" s="8">
        <v>29.43</v>
      </c>
      <c r="H18" s="8">
        <v>45.12</v>
      </c>
      <c r="I18" s="8">
        <v>20.350000000000001</v>
      </c>
      <c r="J18" s="8">
        <v>34.53</v>
      </c>
      <c r="K18" s="8">
        <v>39</v>
      </c>
      <c r="L18" s="8">
        <v>21.53</v>
      </c>
      <c r="M18" s="8">
        <v>39.47</v>
      </c>
      <c r="N18" s="15">
        <v>46.82</v>
      </c>
      <c r="O18" s="15">
        <v>23.46</v>
      </c>
      <c r="P18" s="15">
        <v>29.72</v>
      </c>
      <c r="Q18" s="6"/>
    </row>
    <row r="19" spans="1:17" ht="15.5" x14ac:dyDescent="0.35">
      <c r="A19" s="4" t="s">
        <v>22</v>
      </c>
      <c r="B19" s="8">
        <v>43.39</v>
      </c>
      <c r="C19" s="8">
        <v>36.1</v>
      </c>
      <c r="D19" s="8">
        <v>20.51</v>
      </c>
      <c r="E19" s="8">
        <v>47.02</v>
      </c>
      <c r="F19" s="8">
        <v>30.41</v>
      </c>
      <c r="G19" s="8">
        <v>22.57</v>
      </c>
      <c r="H19" s="8">
        <v>37.14</v>
      </c>
      <c r="I19" s="8">
        <v>34.35</v>
      </c>
      <c r="J19" s="8">
        <v>28.5</v>
      </c>
      <c r="K19" s="8">
        <v>39.520000000000003</v>
      </c>
      <c r="L19" s="8">
        <v>32.5</v>
      </c>
      <c r="M19" s="8">
        <v>27.98</v>
      </c>
      <c r="N19" s="15">
        <v>37.020000000000003</v>
      </c>
      <c r="O19" s="15">
        <v>36.71</v>
      </c>
      <c r="P19" s="15">
        <v>26.27</v>
      </c>
      <c r="Q19" s="6"/>
    </row>
    <row r="20" spans="1:17" ht="15.5" x14ac:dyDescent="0.35">
      <c r="A20" s="4" t="s">
        <v>23</v>
      </c>
      <c r="B20" s="8">
        <v>43.43</v>
      </c>
      <c r="C20" s="8">
        <v>33</v>
      </c>
      <c r="D20" s="8">
        <v>23.57</v>
      </c>
      <c r="E20" s="8">
        <v>49.2</v>
      </c>
      <c r="F20" s="8">
        <v>32.14</v>
      </c>
      <c r="G20" s="8">
        <v>18.66</v>
      </c>
      <c r="H20" s="8">
        <v>39.49</v>
      </c>
      <c r="I20" s="8">
        <v>36.06</v>
      </c>
      <c r="J20" s="8">
        <v>24.45</v>
      </c>
      <c r="K20" s="8">
        <v>43.37</v>
      </c>
      <c r="L20" s="8">
        <v>32.44</v>
      </c>
      <c r="M20" s="8">
        <v>24.19</v>
      </c>
      <c r="N20" s="15">
        <v>43.12</v>
      </c>
      <c r="O20" s="15">
        <v>34.39</v>
      </c>
      <c r="P20" s="15">
        <v>22.49</v>
      </c>
      <c r="Q20" s="6"/>
    </row>
    <row r="21" spans="1:17" ht="15.5" x14ac:dyDescent="0.35">
      <c r="A21" s="4" t="s">
        <v>24</v>
      </c>
      <c r="B21" s="8">
        <v>44.44</v>
      </c>
      <c r="C21" s="8">
        <v>36.58</v>
      </c>
      <c r="D21" s="8">
        <v>18.98</v>
      </c>
      <c r="E21" s="8">
        <v>47.06</v>
      </c>
      <c r="F21" s="8">
        <v>34.28</v>
      </c>
      <c r="G21" s="8">
        <v>18.66</v>
      </c>
      <c r="H21" s="8">
        <v>38.659999999999997</v>
      </c>
      <c r="I21" s="8">
        <v>45.14</v>
      </c>
      <c r="J21" s="8">
        <v>16.2</v>
      </c>
      <c r="K21" s="8">
        <v>43.01</v>
      </c>
      <c r="L21" s="8">
        <v>44.96</v>
      </c>
      <c r="M21" s="8">
        <v>12.02</v>
      </c>
      <c r="N21" s="15">
        <v>46.63</v>
      </c>
      <c r="O21" s="15">
        <v>43.88</v>
      </c>
      <c r="P21" s="15">
        <v>9.49</v>
      </c>
      <c r="Q21" s="6"/>
    </row>
    <row r="22" spans="1:17" ht="15.5" x14ac:dyDescent="0.35">
      <c r="A22" s="4" t="s">
        <v>25</v>
      </c>
      <c r="B22" s="8">
        <v>46.04</v>
      </c>
      <c r="C22" s="8">
        <v>36.5</v>
      </c>
      <c r="D22" s="8">
        <v>17.46</v>
      </c>
      <c r="E22" s="8">
        <v>42.72</v>
      </c>
      <c r="F22" s="8">
        <v>46.33</v>
      </c>
      <c r="G22" s="8">
        <v>10.95</v>
      </c>
      <c r="H22" s="8">
        <v>47.78</v>
      </c>
      <c r="I22" s="8">
        <v>37.090000000000003</v>
      </c>
      <c r="J22" s="8">
        <v>15.13</v>
      </c>
      <c r="K22" s="8">
        <v>43.57</v>
      </c>
      <c r="L22" s="8">
        <v>46.38</v>
      </c>
      <c r="M22" s="8">
        <v>10.050000000000001</v>
      </c>
      <c r="N22" s="15">
        <v>44.93</v>
      </c>
      <c r="O22" s="15">
        <v>35.94</v>
      </c>
      <c r="P22" s="15">
        <v>19.13</v>
      </c>
      <c r="Q22" s="6"/>
    </row>
    <row r="23" spans="1:17" ht="15.5" x14ac:dyDescent="0.35">
      <c r="A23" s="4" t="s">
        <v>26</v>
      </c>
      <c r="B23" s="8">
        <v>34.159999999999997</v>
      </c>
      <c r="C23" s="8">
        <v>46.42</v>
      </c>
      <c r="D23" s="8">
        <v>19.420000000000002</v>
      </c>
      <c r="E23" s="8">
        <v>37.46</v>
      </c>
      <c r="F23" s="8">
        <v>51.28</v>
      </c>
      <c r="G23" s="8">
        <v>11.26</v>
      </c>
      <c r="H23" s="8">
        <v>32.24</v>
      </c>
      <c r="I23" s="8">
        <v>47.1</v>
      </c>
      <c r="J23" s="8">
        <v>20.66</v>
      </c>
      <c r="K23" s="8">
        <v>31.17</v>
      </c>
      <c r="L23" s="8">
        <v>56.38</v>
      </c>
      <c r="M23" s="8">
        <v>12.45</v>
      </c>
      <c r="N23" s="15">
        <v>31.94</v>
      </c>
      <c r="O23" s="15">
        <v>59.43</v>
      </c>
      <c r="P23" s="15">
        <v>8.6300000000000008</v>
      </c>
      <c r="Q23" s="6"/>
    </row>
    <row r="24" spans="1:17" ht="15.5" x14ac:dyDescent="0.35">
      <c r="A24" s="4" t="s">
        <v>27</v>
      </c>
      <c r="B24" s="8">
        <v>33.65</v>
      </c>
      <c r="C24" s="8">
        <v>49.73</v>
      </c>
      <c r="D24" s="8">
        <v>16.62</v>
      </c>
      <c r="E24" s="8">
        <v>40.93</v>
      </c>
      <c r="F24" s="8">
        <v>48.37</v>
      </c>
      <c r="G24" s="8">
        <v>10.69</v>
      </c>
      <c r="H24" s="8">
        <v>37.729999999999997</v>
      </c>
      <c r="I24" s="8">
        <v>53.07</v>
      </c>
      <c r="J24" s="8">
        <v>9.1999999999999993</v>
      </c>
      <c r="K24" s="8">
        <v>34.450000000000003</v>
      </c>
      <c r="L24" s="8">
        <v>53.72</v>
      </c>
      <c r="M24" s="8">
        <v>11.83</v>
      </c>
      <c r="N24" s="15">
        <v>38.119999999999997</v>
      </c>
      <c r="O24" s="15">
        <v>49.49</v>
      </c>
      <c r="P24" s="15">
        <v>12.38</v>
      </c>
      <c r="Q24" s="6"/>
    </row>
    <row r="25" spans="1:17" ht="15.5" x14ac:dyDescent="0.35">
      <c r="A25" s="4" t="s">
        <v>28</v>
      </c>
      <c r="B25" s="8">
        <v>39.159999999999997</v>
      </c>
      <c r="C25" s="8">
        <v>47.36</v>
      </c>
      <c r="D25" s="8">
        <v>13.47</v>
      </c>
      <c r="E25" s="8">
        <v>36.979999999999997</v>
      </c>
      <c r="F25" s="8">
        <v>48.56</v>
      </c>
      <c r="G25" s="8">
        <v>14.46</v>
      </c>
      <c r="H25" s="8">
        <v>38.61</v>
      </c>
      <c r="I25" s="8">
        <v>51.94</v>
      </c>
      <c r="J25" s="8">
        <v>9.4499999999999993</v>
      </c>
      <c r="K25" s="8">
        <v>44.81</v>
      </c>
      <c r="L25" s="8">
        <v>43.31</v>
      </c>
      <c r="M25" s="8">
        <v>11.88</v>
      </c>
      <c r="N25" s="15">
        <v>40</v>
      </c>
      <c r="O25" s="15">
        <v>52.89</v>
      </c>
      <c r="P25" s="15">
        <v>7.11</v>
      </c>
      <c r="Q25" s="6"/>
    </row>
    <row r="26" spans="1:17" ht="15.5" x14ac:dyDescent="0.35">
      <c r="A26" s="4" t="s">
        <v>29</v>
      </c>
      <c r="B26" s="8">
        <v>38.47</v>
      </c>
      <c r="C26" s="8">
        <v>48.01</v>
      </c>
      <c r="D26" s="8">
        <v>13.52</v>
      </c>
      <c r="E26" s="8">
        <v>39.950000000000003</v>
      </c>
      <c r="F26" s="8">
        <v>42.64</v>
      </c>
      <c r="G26" s="8">
        <v>17.41</v>
      </c>
      <c r="H26" s="8">
        <v>41.26</v>
      </c>
      <c r="I26" s="8">
        <v>40.75</v>
      </c>
      <c r="J26" s="8">
        <v>17.989999999999998</v>
      </c>
      <c r="K26" s="8">
        <v>41.59</v>
      </c>
      <c r="L26" s="8">
        <v>44.08</v>
      </c>
      <c r="M26" s="8">
        <v>14.34</v>
      </c>
      <c r="N26" s="15">
        <v>38.04</v>
      </c>
      <c r="O26" s="15">
        <v>40.130000000000003</v>
      </c>
      <c r="P26" s="15">
        <v>21.83</v>
      </c>
      <c r="Q26" s="6"/>
    </row>
    <row r="27" spans="1:17" ht="15.5" x14ac:dyDescent="0.35">
      <c r="A27" s="4" t="s">
        <v>30</v>
      </c>
      <c r="B27" s="8">
        <v>42.04</v>
      </c>
      <c r="C27" s="8">
        <v>38.86</v>
      </c>
      <c r="D27" s="8">
        <v>19.100000000000001</v>
      </c>
      <c r="E27" s="8">
        <v>43.45</v>
      </c>
      <c r="F27" s="8">
        <v>36.11</v>
      </c>
      <c r="G27" s="8">
        <v>20.45</v>
      </c>
      <c r="H27" s="8">
        <v>41.51</v>
      </c>
      <c r="I27" s="8">
        <v>37.83</v>
      </c>
      <c r="J27" s="8">
        <v>20.65</v>
      </c>
      <c r="K27" s="8">
        <v>41.83</v>
      </c>
      <c r="L27" s="8">
        <v>37.369999999999997</v>
      </c>
      <c r="M27" s="8">
        <v>20.8</v>
      </c>
      <c r="N27" s="15">
        <v>43.08</v>
      </c>
      <c r="O27" s="15">
        <v>36.68</v>
      </c>
      <c r="P27" s="15">
        <v>20.239999999999998</v>
      </c>
      <c r="Q27" s="6"/>
    </row>
    <row r="28" spans="1:17" ht="15.5" x14ac:dyDescent="0.35">
      <c r="A28" s="4" t="s">
        <v>31</v>
      </c>
      <c r="B28" s="8">
        <v>36.58</v>
      </c>
      <c r="C28" s="8">
        <v>29.81</v>
      </c>
      <c r="D28" s="8">
        <v>33.61</v>
      </c>
      <c r="E28" s="8">
        <v>40.46</v>
      </c>
      <c r="F28" s="8">
        <v>37.21</v>
      </c>
      <c r="G28" s="8">
        <v>22.34</v>
      </c>
      <c r="H28" s="8">
        <v>37.69</v>
      </c>
      <c r="I28" s="8">
        <v>35.619999999999997</v>
      </c>
      <c r="J28" s="8">
        <v>26.69</v>
      </c>
      <c r="K28" s="8">
        <v>39.89</v>
      </c>
      <c r="L28" s="8">
        <v>29.63</v>
      </c>
      <c r="M28" s="8">
        <v>30.48</v>
      </c>
      <c r="N28" s="15">
        <v>43.19</v>
      </c>
      <c r="O28" s="15">
        <v>37.46</v>
      </c>
      <c r="P28" s="15">
        <v>19.34</v>
      </c>
      <c r="Q28" s="6"/>
    </row>
    <row r="29" spans="1:17" ht="15.5" x14ac:dyDescent="0.35">
      <c r="A29" s="4" t="s">
        <v>32</v>
      </c>
      <c r="B29" s="8">
        <v>34.380000000000003</v>
      </c>
      <c r="C29" s="8">
        <v>56.06</v>
      </c>
      <c r="D29" s="8">
        <v>9.56</v>
      </c>
      <c r="E29" s="8">
        <v>35.700000000000003</v>
      </c>
      <c r="F29" s="8">
        <v>38.729999999999997</v>
      </c>
      <c r="G29" s="8">
        <v>25.57</v>
      </c>
      <c r="H29" s="8">
        <v>41.4</v>
      </c>
      <c r="I29" s="8">
        <v>43.16</v>
      </c>
      <c r="J29" s="8">
        <v>15.44</v>
      </c>
      <c r="K29" s="8">
        <v>28.14</v>
      </c>
      <c r="L29" s="8">
        <v>57.25</v>
      </c>
      <c r="M29" s="8">
        <v>14.61</v>
      </c>
      <c r="N29" s="15">
        <v>35.46</v>
      </c>
      <c r="O29" s="15">
        <v>47.33</v>
      </c>
      <c r="P29" s="15">
        <v>17.22</v>
      </c>
      <c r="Q29" s="6"/>
    </row>
    <row r="30" spans="1:17" ht="15.5" x14ac:dyDescent="0.35">
      <c r="A30" s="4" t="s">
        <v>33</v>
      </c>
      <c r="B30" s="8">
        <v>31.63</v>
      </c>
      <c r="C30" s="8">
        <v>61.45</v>
      </c>
      <c r="D30" s="8">
        <v>6.92</v>
      </c>
      <c r="E30" s="8">
        <v>29.94</v>
      </c>
      <c r="F30" s="8">
        <v>65.8</v>
      </c>
      <c r="G30" s="8">
        <v>4.26</v>
      </c>
      <c r="H30" s="8">
        <v>32.14</v>
      </c>
      <c r="I30" s="8">
        <v>63.31</v>
      </c>
      <c r="J30" s="8">
        <v>4.54</v>
      </c>
      <c r="K30" s="8">
        <v>33.67</v>
      </c>
      <c r="L30" s="8">
        <v>64.2</v>
      </c>
      <c r="M30" s="8">
        <v>2.13</v>
      </c>
      <c r="N30" s="15">
        <v>35.4</v>
      </c>
      <c r="O30" s="15">
        <v>59.27</v>
      </c>
      <c r="P30" s="15">
        <v>5.32</v>
      </c>
      <c r="Q30" s="6"/>
    </row>
    <row r="31" spans="1:17" ht="15.5" x14ac:dyDescent="0.35">
      <c r="A31" s="4" t="s">
        <v>34</v>
      </c>
      <c r="B31" s="8">
        <v>27.08</v>
      </c>
      <c r="C31" s="8">
        <v>58.81</v>
      </c>
      <c r="D31" s="8">
        <v>14.11</v>
      </c>
      <c r="E31" s="8">
        <v>27.79</v>
      </c>
      <c r="F31" s="8">
        <v>61.66</v>
      </c>
      <c r="G31" s="8">
        <v>10.55</v>
      </c>
      <c r="H31" s="8">
        <v>25.93</v>
      </c>
      <c r="I31" s="8">
        <v>67.489999999999995</v>
      </c>
      <c r="J31" s="8">
        <v>6.58</v>
      </c>
      <c r="K31" s="8">
        <v>40</v>
      </c>
      <c r="L31" s="8">
        <v>48.59</v>
      </c>
      <c r="M31" s="8">
        <v>11.4</v>
      </c>
      <c r="N31" s="15">
        <v>34.92</v>
      </c>
      <c r="O31" s="15">
        <v>52.4</v>
      </c>
      <c r="P31" s="15">
        <v>12.68</v>
      </c>
      <c r="Q31" s="6"/>
    </row>
    <row r="32" spans="1:17" ht="15.5" x14ac:dyDescent="0.35">
      <c r="A32" s="4" t="s">
        <v>35</v>
      </c>
      <c r="B32" s="8">
        <v>37.22</v>
      </c>
      <c r="C32" s="8">
        <v>50.45</v>
      </c>
      <c r="D32" s="8">
        <v>12.33</v>
      </c>
      <c r="E32" s="8">
        <v>29.49</v>
      </c>
      <c r="F32" s="8">
        <v>62.61</v>
      </c>
      <c r="G32" s="8">
        <v>7.9</v>
      </c>
      <c r="H32" s="8">
        <v>37.54</v>
      </c>
      <c r="I32" s="8">
        <v>51.9</v>
      </c>
      <c r="J32" s="8">
        <v>10.56</v>
      </c>
      <c r="K32" s="8">
        <v>34.270000000000003</v>
      </c>
      <c r="L32" s="8">
        <v>52.6</v>
      </c>
      <c r="M32" s="8">
        <v>13.13</v>
      </c>
      <c r="N32" s="15">
        <v>38.25</v>
      </c>
      <c r="O32" s="15">
        <v>48.82</v>
      </c>
      <c r="P32" s="15">
        <v>12.93</v>
      </c>
      <c r="Q32" s="6"/>
    </row>
    <row r="33" spans="1:17" ht="15.5" x14ac:dyDescent="0.35">
      <c r="A33" s="4" t="s">
        <v>36</v>
      </c>
      <c r="B33" s="8">
        <v>38.76</v>
      </c>
      <c r="C33" s="8">
        <v>26.13</v>
      </c>
      <c r="D33" s="8">
        <v>35.11</v>
      </c>
      <c r="E33" s="8">
        <v>45.38</v>
      </c>
      <c r="F33" s="8">
        <v>34.86</v>
      </c>
      <c r="G33" s="8">
        <v>19.760000000000002</v>
      </c>
      <c r="H33" s="8">
        <v>50.38</v>
      </c>
      <c r="I33" s="8">
        <v>26.56</v>
      </c>
      <c r="J33" s="8">
        <v>23.07</v>
      </c>
      <c r="K33" s="8">
        <v>43.28</v>
      </c>
      <c r="L33" s="8">
        <v>29.6</v>
      </c>
      <c r="M33" s="8">
        <v>27.12</v>
      </c>
      <c r="N33" s="15">
        <v>45.8</v>
      </c>
      <c r="O33" s="15">
        <v>22.03</v>
      </c>
      <c r="P33" s="15">
        <v>32.17</v>
      </c>
      <c r="Q33" s="6"/>
    </row>
    <row r="34" spans="1:17" ht="15.5" x14ac:dyDescent="0.35">
      <c r="A34" s="4" t="s">
        <v>37</v>
      </c>
      <c r="B34" s="8">
        <v>35.68</v>
      </c>
      <c r="C34" s="8">
        <v>30.99</v>
      </c>
      <c r="D34" s="8">
        <v>33.340000000000003</v>
      </c>
      <c r="E34" s="8">
        <v>44.67</v>
      </c>
      <c r="F34" s="8">
        <v>24.54</v>
      </c>
      <c r="G34" s="8">
        <v>30.79</v>
      </c>
      <c r="H34" s="8">
        <v>37.81</v>
      </c>
      <c r="I34" s="8">
        <v>39.479999999999997</v>
      </c>
      <c r="J34" s="8">
        <v>22.71</v>
      </c>
      <c r="K34" s="8">
        <v>36.86</v>
      </c>
      <c r="L34" s="8">
        <v>37.880000000000003</v>
      </c>
      <c r="M34" s="8">
        <v>25.26</v>
      </c>
      <c r="N34" s="15">
        <v>31.35</v>
      </c>
      <c r="O34" s="15">
        <v>42.2</v>
      </c>
      <c r="P34" s="15">
        <v>26.45</v>
      </c>
      <c r="Q34" s="6"/>
    </row>
    <row r="35" spans="1:17" ht="15.5" x14ac:dyDescent="0.35">
      <c r="A35" s="4" t="s">
        <v>38</v>
      </c>
      <c r="B35" s="8">
        <v>48.31</v>
      </c>
      <c r="C35" s="8">
        <v>17.43</v>
      </c>
      <c r="D35" s="8">
        <v>34.26</v>
      </c>
      <c r="E35" s="8">
        <v>51.23</v>
      </c>
      <c r="F35" s="8">
        <v>28.35</v>
      </c>
      <c r="G35" s="8">
        <v>20.420000000000002</v>
      </c>
      <c r="H35" s="8">
        <v>52.61</v>
      </c>
      <c r="I35" s="8">
        <v>21.44</v>
      </c>
      <c r="J35" s="8">
        <v>25.95</v>
      </c>
      <c r="K35" s="8">
        <v>44.01</v>
      </c>
      <c r="L35" s="8">
        <v>19.62</v>
      </c>
      <c r="M35" s="8">
        <v>36.369999999999997</v>
      </c>
      <c r="N35" s="15">
        <v>51.55</v>
      </c>
      <c r="O35" s="15">
        <v>14.48</v>
      </c>
      <c r="P35" s="15">
        <v>33.979999999999997</v>
      </c>
      <c r="Q35" s="6"/>
    </row>
    <row r="36" spans="1:17" ht="15.5" x14ac:dyDescent="0.35">
      <c r="A36" s="4" t="s">
        <v>39</v>
      </c>
      <c r="B36" s="8">
        <v>44.7</v>
      </c>
      <c r="C36" s="8">
        <v>24.39</v>
      </c>
      <c r="D36" s="8">
        <v>30.91</v>
      </c>
      <c r="E36" s="8">
        <v>45.3</v>
      </c>
      <c r="F36" s="8">
        <v>23.99</v>
      </c>
      <c r="G36" s="8">
        <v>30.71</v>
      </c>
      <c r="H36" s="8">
        <v>36.659999999999997</v>
      </c>
      <c r="I36" s="8">
        <v>30.98</v>
      </c>
      <c r="J36" s="8">
        <v>32.36</v>
      </c>
      <c r="K36" s="8">
        <v>37.26</v>
      </c>
      <c r="L36" s="8">
        <v>33.659999999999997</v>
      </c>
      <c r="M36" s="8">
        <v>29.08</v>
      </c>
      <c r="N36" s="15">
        <v>38.11</v>
      </c>
      <c r="O36" s="15">
        <v>36.67</v>
      </c>
      <c r="P36" s="15">
        <v>25.22</v>
      </c>
      <c r="Q36" s="6"/>
    </row>
    <row r="37" spans="1:17" ht="15.5" x14ac:dyDescent="0.35">
      <c r="A37" s="4" t="s">
        <v>40</v>
      </c>
      <c r="B37" s="8">
        <v>44.79</v>
      </c>
      <c r="C37" s="8">
        <v>26.63</v>
      </c>
      <c r="D37" s="8">
        <v>28.58</v>
      </c>
      <c r="E37" s="8">
        <v>43.77</v>
      </c>
      <c r="F37" s="8">
        <v>20.9</v>
      </c>
      <c r="G37" s="8">
        <v>35.33</v>
      </c>
      <c r="H37" s="8">
        <v>54.16</v>
      </c>
      <c r="I37" s="8">
        <v>19.82</v>
      </c>
      <c r="J37" s="8">
        <v>26.02</v>
      </c>
      <c r="K37" s="8">
        <v>46.93</v>
      </c>
      <c r="L37" s="8">
        <v>21.36</v>
      </c>
      <c r="M37" s="8">
        <v>31.71</v>
      </c>
      <c r="N37" s="15">
        <v>42.24</v>
      </c>
      <c r="O37" s="15">
        <v>24.51</v>
      </c>
      <c r="P37" s="15">
        <v>33.25</v>
      </c>
      <c r="Q37" s="6"/>
    </row>
    <row r="38" spans="1:17" ht="15.5" x14ac:dyDescent="0.35">
      <c r="A38" s="4" t="s">
        <v>41</v>
      </c>
      <c r="B38" s="8">
        <v>48.86</v>
      </c>
      <c r="C38" s="8">
        <v>21.02</v>
      </c>
      <c r="D38" s="8">
        <v>30.11</v>
      </c>
      <c r="E38" s="8">
        <v>45.84</v>
      </c>
      <c r="F38" s="8">
        <v>25.62</v>
      </c>
      <c r="G38" s="8">
        <v>28.54</v>
      </c>
      <c r="H38" s="8">
        <v>41.07</v>
      </c>
      <c r="I38" s="8">
        <v>45.21</v>
      </c>
      <c r="J38" s="8">
        <v>13.72</v>
      </c>
      <c r="K38" s="8">
        <v>58</v>
      </c>
      <c r="L38" s="8">
        <v>16.34</v>
      </c>
      <c r="M38" s="8">
        <v>25.66</v>
      </c>
      <c r="N38" s="15">
        <v>52.4</v>
      </c>
      <c r="O38" s="15">
        <v>25.02</v>
      </c>
      <c r="P38" s="15">
        <v>22.58</v>
      </c>
      <c r="Q38" s="6"/>
    </row>
    <row r="39" spans="1:17" ht="15.5" x14ac:dyDescent="0.35">
      <c r="A39" s="4" t="s">
        <v>42</v>
      </c>
      <c r="B39" s="8">
        <v>48.98</v>
      </c>
      <c r="C39" s="8">
        <v>21.53</v>
      </c>
      <c r="D39" s="8">
        <v>29.49</v>
      </c>
      <c r="E39" s="8">
        <v>46.56</v>
      </c>
      <c r="F39" s="8">
        <v>24.47</v>
      </c>
      <c r="G39" s="8">
        <v>28.97</v>
      </c>
      <c r="H39" s="8">
        <v>47</v>
      </c>
      <c r="I39" s="8">
        <v>34.299999999999997</v>
      </c>
      <c r="J39" s="8">
        <v>18.690000000000001</v>
      </c>
      <c r="K39" s="8">
        <v>46.06</v>
      </c>
      <c r="L39" s="8">
        <v>31.65</v>
      </c>
      <c r="M39" s="8">
        <v>22.28</v>
      </c>
      <c r="N39" s="15">
        <v>49.94</v>
      </c>
      <c r="O39" s="15">
        <v>24.22</v>
      </c>
      <c r="P39" s="15">
        <v>25.84</v>
      </c>
      <c r="Q39" s="6"/>
    </row>
    <row r="40" spans="1:17" ht="15.5" x14ac:dyDescent="0.35">
      <c r="A40" s="4" t="s">
        <v>43</v>
      </c>
      <c r="B40" s="8">
        <v>43.05</v>
      </c>
      <c r="C40" s="8">
        <v>28.41</v>
      </c>
      <c r="D40" s="8">
        <v>28.54</v>
      </c>
      <c r="E40" s="8">
        <v>43.03</v>
      </c>
      <c r="F40" s="8">
        <v>28.33</v>
      </c>
      <c r="G40" s="8">
        <v>28.63</v>
      </c>
      <c r="H40" s="8">
        <v>44.15</v>
      </c>
      <c r="I40" s="8">
        <v>16.36</v>
      </c>
      <c r="J40" s="8">
        <v>39.49</v>
      </c>
      <c r="K40" s="8">
        <v>40.97</v>
      </c>
      <c r="L40" s="8">
        <v>21.03</v>
      </c>
      <c r="M40" s="8">
        <v>38</v>
      </c>
      <c r="N40" s="15">
        <v>41.2</v>
      </c>
      <c r="O40" s="15">
        <v>12.63</v>
      </c>
      <c r="P40" s="15">
        <v>46.16</v>
      </c>
      <c r="Q40" s="6"/>
    </row>
    <row r="41" spans="1:17" ht="15.5" x14ac:dyDescent="0.35">
      <c r="A41" s="4" t="s">
        <v>44</v>
      </c>
      <c r="B41" s="8">
        <v>32.630000000000003</v>
      </c>
      <c r="C41" s="8">
        <v>24.39</v>
      </c>
      <c r="D41" s="8">
        <v>42.98</v>
      </c>
      <c r="E41" s="8">
        <v>42.82</v>
      </c>
      <c r="F41" s="8">
        <v>29.9</v>
      </c>
      <c r="G41" s="8">
        <v>27.27</v>
      </c>
      <c r="H41" s="8">
        <v>55.66</v>
      </c>
      <c r="I41" s="8">
        <v>21.95</v>
      </c>
      <c r="J41" s="8">
        <v>22.4</v>
      </c>
      <c r="K41" s="8">
        <v>38.67</v>
      </c>
      <c r="L41" s="8">
        <v>44.6</v>
      </c>
      <c r="M41" s="8">
        <v>16.73</v>
      </c>
      <c r="N41" s="15">
        <v>49.08</v>
      </c>
      <c r="O41" s="15">
        <v>30.97</v>
      </c>
      <c r="P41" s="15">
        <v>19.95</v>
      </c>
      <c r="Q41" s="6"/>
    </row>
    <row r="42" spans="1:17" ht="15.5" hidden="1" x14ac:dyDescent="0.35">
      <c r="A42" s="4" t="s">
        <v>45</v>
      </c>
      <c r="B42" s="8">
        <v>41.78</v>
      </c>
      <c r="C42" s="8">
        <v>18.86</v>
      </c>
      <c r="D42" s="5">
        <v>39.35</v>
      </c>
      <c r="E42" s="8">
        <v>42.14</v>
      </c>
      <c r="F42" s="8">
        <v>17.260000000000002</v>
      </c>
      <c r="G42" s="8">
        <v>40.6</v>
      </c>
      <c r="H42" s="8">
        <v>41.14</v>
      </c>
      <c r="I42" s="8">
        <v>17.829999999999998</v>
      </c>
      <c r="J42" s="8">
        <v>41.04</v>
      </c>
      <c r="K42" s="8">
        <v>43.41</v>
      </c>
      <c r="L42" s="8">
        <v>17.05</v>
      </c>
      <c r="M42" s="8">
        <v>39.54</v>
      </c>
      <c r="N42" s="8">
        <v>38.6</v>
      </c>
      <c r="O42" s="8">
        <v>27.18</v>
      </c>
      <c r="P42" s="8">
        <v>34.229999999999997</v>
      </c>
      <c r="Q42" s="6"/>
    </row>
  </sheetData>
  <mergeCells count="6">
    <mergeCell ref="A1:P1"/>
    <mergeCell ref="B2:D2"/>
    <mergeCell ref="E2:G2"/>
    <mergeCell ref="H2:J2"/>
    <mergeCell ref="K2:M2"/>
    <mergeCell ref="N2:P2"/>
  </mergeCells>
  <phoneticPr fontId="11" type="noConversion"/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2"/>
  <sheetViews>
    <sheetView zoomScale="77" zoomScaleNormal="55" workbookViewId="0">
      <selection sqref="A1:P1"/>
    </sheetView>
  </sheetViews>
  <sheetFormatPr defaultColWidth="11.25" defaultRowHeight="15" customHeight="1" x14ac:dyDescent="0.35"/>
  <cols>
    <col min="1" max="1" width="26.58203125" customWidth="1"/>
    <col min="2" max="16" width="10.08203125" customWidth="1"/>
    <col min="17" max="26" width="8.5" customWidth="1"/>
  </cols>
  <sheetData>
    <row r="1" spans="1:23" ht="15.5" x14ac:dyDescent="0.35">
      <c r="A1" s="42" t="s">
        <v>105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1"/>
      <c r="Q1" s="6"/>
    </row>
    <row r="2" spans="1:23" ht="15.5" x14ac:dyDescent="0.35">
      <c r="A2" s="1"/>
      <c r="B2" s="43">
        <v>2020</v>
      </c>
      <c r="C2" s="39"/>
      <c r="D2" s="41"/>
      <c r="E2" s="43">
        <v>2021</v>
      </c>
      <c r="F2" s="39"/>
      <c r="G2" s="41"/>
      <c r="H2" s="43">
        <v>2022</v>
      </c>
      <c r="I2" s="39"/>
      <c r="J2" s="41"/>
      <c r="K2" s="43">
        <v>2023</v>
      </c>
      <c r="L2" s="39"/>
      <c r="M2" s="41"/>
      <c r="N2" s="43">
        <v>2024</v>
      </c>
      <c r="O2" s="39"/>
      <c r="P2" s="41"/>
      <c r="Q2" s="6"/>
    </row>
    <row r="3" spans="1:23" ht="15.5" x14ac:dyDescent="0.35">
      <c r="A3" s="2" t="s">
        <v>1</v>
      </c>
      <c r="B3" s="3" t="s">
        <v>90</v>
      </c>
      <c r="C3" s="3" t="s">
        <v>106</v>
      </c>
      <c r="D3" s="3" t="s">
        <v>107</v>
      </c>
      <c r="E3" s="3" t="s">
        <v>93</v>
      </c>
      <c r="F3" s="3" t="s">
        <v>108</v>
      </c>
      <c r="G3" s="3" t="s">
        <v>109</v>
      </c>
      <c r="H3" s="3" t="s">
        <v>96</v>
      </c>
      <c r="I3" s="3" t="s">
        <v>110</v>
      </c>
      <c r="J3" s="3" t="s">
        <v>111</v>
      </c>
      <c r="K3" s="3" t="s">
        <v>99</v>
      </c>
      <c r="L3" s="3" t="s">
        <v>112</v>
      </c>
      <c r="M3" s="3" t="s">
        <v>113</v>
      </c>
      <c r="N3" s="3" t="s">
        <v>102</v>
      </c>
      <c r="O3" s="3" t="s">
        <v>114</v>
      </c>
      <c r="P3" s="3" t="s">
        <v>115</v>
      </c>
      <c r="Q3" s="6"/>
    </row>
    <row r="4" spans="1:23" ht="15.5" x14ac:dyDescent="0.35">
      <c r="A4" s="4" t="s">
        <v>7</v>
      </c>
      <c r="B4" s="10">
        <v>33.49</v>
      </c>
      <c r="C4" s="10">
        <v>52.65</v>
      </c>
      <c r="D4" s="10">
        <v>13.85</v>
      </c>
      <c r="E4" s="10">
        <v>34.36</v>
      </c>
      <c r="F4" s="10">
        <v>47.51</v>
      </c>
      <c r="G4" s="10">
        <v>18.14</v>
      </c>
      <c r="H4" s="10">
        <v>29.85</v>
      </c>
      <c r="I4" s="10">
        <v>56.89</v>
      </c>
      <c r="J4" s="10">
        <v>13.26</v>
      </c>
      <c r="K4" s="10">
        <v>34.200000000000003</v>
      </c>
      <c r="L4" s="10">
        <v>44.84</v>
      </c>
      <c r="M4" s="10">
        <v>20.96</v>
      </c>
      <c r="N4" s="20">
        <v>26.37</v>
      </c>
      <c r="O4" s="20">
        <v>58.52</v>
      </c>
      <c r="P4" s="20">
        <v>15.12</v>
      </c>
      <c r="Q4" s="6"/>
    </row>
    <row r="5" spans="1:23" ht="15.5" x14ac:dyDescent="0.35">
      <c r="A5" s="4" t="s">
        <v>8</v>
      </c>
      <c r="B5" s="10">
        <v>40.04</v>
      </c>
      <c r="C5" s="10">
        <v>35.82</v>
      </c>
      <c r="D5" s="10">
        <v>24.14</v>
      </c>
      <c r="E5" s="10">
        <v>32.58</v>
      </c>
      <c r="F5" s="10">
        <v>52.25</v>
      </c>
      <c r="G5" s="10">
        <v>15.17</v>
      </c>
      <c r="H5" s="10">
        <v>37.56</v>
      </c>
      <c r="I5" s="10">
        <v>51.46</v>
      </c>
      <c r="J5" s="10">
        <v>10.98</v>
      </c>
      <c r="K5" s="10">
        <v>29.57</v>
      </c>
      <c r="L5" s="10">
        <v>55.82</v>
      </c>
      <c r="M5" s="10">
        <v>14.61</v>
      </c>
      <c r="N5" s="20">
        <v>37.17</v>
      </c>
      <c r="O5" s="20">
        <v>47.32</v>
      </c>
      <c r="P5" s="20">
        <v>15.51</v>
      </c>
      <c r="Q5" s="6"/>
      <c r="S5">
        <v>2020</v>
      </c>
      <c r="T5">
        <v>2021</v>
      </c>
      <c r="U5">
        <v>2022</v>
      </c>
      <c r="V5">
        <v>2023</v>
      </c>
      <c r="W5">
        <v>2024</v>
      </c>
    </row>
    <row r="6" spans="1:23" ht="15.5" x14ac:dyDescent="0.35">
      <c r="A6" s="4" t="s">
        <v>9</v>
      </c>
      <c r="B6" s="10">
        <v>33.299999999999997</v>
      </c>
      <c r="C6" s="10">
        <v>37.909999999999997</v>
      </c>
      <c r="D6" s="10">
        <v>28.79</v>
      </c>
      <c r="E6" s="10">
        <v>40.299999999999997</v>
      </c>
      <c r="F6" s="10">
        <v>44.32</v>
      </c>
      <c r="G6" s="10">
        <v>15.38</v>
      </c>
      <c r="H6" s="10">
        <v>43.13</v>
      </c>
      <c r="I6" s="10">
        <v>37.909999999999997</v>
      </c>
      <c r="J6" s="10">
        <v>18.96</v>
      </c>
      <c r="K6" s="10">
        <v>33.54</v>
      </c>
      <c r="L6" s="10">
        <v>50.06</v>
      </c>
      <c r="M6" s="10">
        <v>16.399999999999999</v>
      </c>
      <c r="N6" s="20">
        <v>39.630000000000003</v>
      </c>
      <c r="O6" s="20">
        <v>37.409999999999997</v>
      </c>
      <c r="P6" s="20">
        <v>22.96</v>
      </c>
      <c r="Q6" s="6"/>
      <c r="R6" s="32" t="s">
        <v>171</v>
      </c>
      <c r="S6" s="34">
        <v>39.53</v>
      </c>
      <c r="T6" s="34">
        <v>42.76</v>
      </c>
      <c r="U6" s="34">
        <v>34.92</v>
      </c>
      <c r="V6" s="34">
        <v>32.549999999999997</v>
      </c>
      <c r="W6" s="35">
        <v>39.049999999999997</v>
      </c>
    </row>
    <row r="7" spans="1:23" ht="15.5" x14ac:dyDescent="0.35">
      <c r="A7" s="4" t="s">
        <v>10</v>
      </c>
      <c r="B7" s="10">
        <v>39.53</v>
      </c>
      <c r="C7" s="10">
        <v>15.81</v>
      </c>
      <c r="D7" s="10">
        <v>44.65</v>
      </c>
      <c r="E7" s="10">
        <v>42.76</v>
      </c>
      <c r="F7" s="10">
        <v>28.51</v>
      </c>
      <c r="G7" s="10">
        <v>28.73</v>
      </c>
      <c r="H7" s="10">
        <v>34.92</v>
      </c>
      <c r="I7" s="10">
        <v>31.81</v>
      </c>
      <c r="J7" s="10">
        <v>33.270000000000003</v>
      </c>
      <c r="K7" s="10">
        <v>32.549999999999997</v>
      </c>
      <c r="L7" s="10">
        <v>40.08</v>
      </c>
      <c r="M7" s="10">
        <v>27.37</v>
      </c>
      <c r="N7" s="20">
        <v>39.049999999999997</v>
      </c>
      <c r="O7" s="20">
        <v>38.299999999999997</v>
      </c>
      <c r="P7" s="20">
        <v>22.65</v>
      </c>
      <c r="Q7" s="6"/>
      <c r="R7" s="32" t="s">
        <v>174</v>
      </c>
      <c r="S7" s="34">
        <v>15.81</v>
      </c>
      <c r="T7" s="34">
        <v>28.51</v>
      </c>
      <c r="U7" s="34">
        <v>31.81</v>
      </c>
      <c r="V7" s="34">
        <v>40.08</v>
      </c>
      <c r="W7" s="35">
        <v>38.299999999999997</v>
      </c>
    </row>
    <row r="8" spans="1:23" ht="15.5" x14ac:dyDescent="0.35">
      <c r="A8" s="4" t="s">
        <v>11</v>
      </c>
      <c r="B8" s="10">
        <v>43.72</v>
      </c>
      <c r="C8" s="10">
        <v>28.17</v>
      </c>
      <c r="D8" s="10">
        <v>28.11</v>
      </c>
      <c r="E8" s="10">
        <v>41.21</v>
      </c>
      <c r="F8" s="10">
        <v>35.42</v>
      </c>
      <c r="G8" s="10">
        <v>23.37</v>
      </c>
      <c r="H8" s="10">
        <v>43.07</v>
      </c>
      <c r="I8" s="10">
        <v>34.03</v>
      </c>
      <c r="J8" s="10">
        <v>22.9</v>
      </c>
      <c r="K8" s="10">
        <v>44.44</v>
      </c>
      <c r="L8" s="10">
        <v>35.64</v>
      </c>
      <c r="M8" s="10">
        <v>19.93</v>
      </c>
      <c r="N8" s="20">
        <v>44.15</v>
      </c>
      <c r="O8" s="20">
        <v>38.799999999999997</v>
      </c>
      <c r="P8" s="20">
        <v>17.05</v>
      </c>
      <c r="Q8" s="6"/>
      <c r="R8" s="32" t="s">
        <v>173</v>
      </c>
      <c r="S8" s="34">
        <v>44.65</v>
      </c>
      <c r="T8" s="34">
        <v>28.73</v>
      </c>
      <c r="U8" s="34">
        <v>33.270000000000003</v>
      </c>
      <c r="V8" s="34">
        <v>27.37</v>
      </c>
      <c r="W8" s="35">
        <v>22.65</v>
      </c>
    </row>
    <row r="9" spans="1:23" ht="15.5" x14ac:dyDescent="0.35">
      <c r="A9" s="4" t="s">
        <v>12</v>
      </c>
      <c r="B9" s="10">
        <v>45.34</v>
      </c>
      <c r="C9" s="10">
        <v>22.91</v>
      </c>
      <c r="D9" s="10">
        <v>31.75</v>
      </c>
      <c r="E9" s="10">
        <v>45.76</v>
      </c>
      <c r="F9" s="10">
        <v>29.69</v>
      </c>
      <c r="G9" s="10">
        <v>24.55</v>
      </c>
      <c r="H9" s="10">
        <v>46.37</v>
      </c>
      <c r="I9" s="10">
        <v>26.45</v>
      </c>
      <c r="J9" s="10">
        <v>27.18</v>
      </c>
      <c r="K9" s="10">
        <v>41.1</v>
      </c>
      <c r="L9" s="10">
        <v>28.53</v>
      </c>
      <c r="M9" s="10">
        <v>30.36</v>
      </c>
      <c r="N9" s="20">
        <v>49.17</v>
      </c>
      <c r="O9" s="20">
        <v>24.59</v>
      </c>
      <c r="P9" s="20">
        <v>26.23</v>
      </c>
      <c r="Q9" s="6"/>
    </row>
    <row r="10" spans="1:23" ht="15.5" x14ac:dyDescent="0.35">
      <c r="A10" s="4" t="s">
        <v>13</v>
      </c>
      <c r="B10" s="10">
        <v>41.67</v>
      </c>
      <c r="C10" s="10">
        <v>22.01</v>
      </c>
      <c r="D10" s="10">
        <v>36.32</v>
      </c>
      <c r="E10" s="10">
        <v>41.52</v>
      </c>
      <c r="F10" s="10">
        <v>31.21</v>
      </c>
      <c r="G10" s="10">
        <v>27.26</v>
      </c>
      <c r="H10" s="10">
        <v>41.4</v>
      </c>
      <c r="I10" s="10">
        <v>28.04</v>
      </c>
      <c r="J10" s="10">
        <v>30.56</v>
      </c>
      <c r="K10" s="10">
        <v>45.48</v>
      </c>
      <c r="L10" s="10">
        <v>26.7</v>
      </c>
      <c r="M10" s="10">
        <v>27.82</v>
      </c>
      <c r="N10" s="20">
        <v>40.880000000000003</v>
      </c>
      <c r="O10" s="20">
        <v>30.35</v>
      </c>
      <c r="P10" s="20">
        <v>28.76</v>
      </c>
      <c r="Q10" s="6"/>
    </row>
    <row r="11" spans="1:23" ht="15.5" x14ac:dyDescent="0.35">
      <c r="A11" s="4" t="s">
        <v>14</v>
      </c>
      <c r="B11" s="10">
        <v>46.02</v>
      </c>
      <c r="C11" s="10">
        <v>27.23</v>
      </c>
      <c r="D11" s="10">
        <v>26.75</v>
      </c>
      <c r="E11" s="10">
        <v>44.11</v>
      </c>
      <c r="F11" s="10">
        <v>28.75</v>
      </c>
      <c r="G11" s="10">
        <v>27.14</v>
      </c>
      <c r="H11" s="10">
        <v>41.73</v>
      </c>
      <c r="I11" s="10">
        <v>31.57</v>
      </c>
      <c r="J11" s="10">
        <v>26.69</v>
      </c>
      <c r="K11" s="10">
        <v>42.57</v>
      </c>
      <c r="L11" s="10">
        <v>24.09</v>
      </c>
      <c r="M11" s="10">
        <v>33.35</v>
      </c>
      <c r="N11" s="20">
        <v>42.45</v>
      </c>
      <c r="O11" s="20">
        <v>29.27</v>
      </c>
      <c r="P11" s="20">
        <v>28.28</v>
      </c>
      <c r="Q11" s="6"/>
    </row>
    <row r="12" spans="1:23" ht="15.5" x14ac:dyDescent="0.35">
      <c r="A12" s="4" t="s">
        <v>15</v>
      </c>
      <c r="B12" s="10">
        <v>38.78</v>
      </c>
      <c r="C12" s="10">
        <v>27.42</v>
      </c>
      <c r="D12" s="10">
        <v>33.799999999999997</v>
      </c>
      <c r="E12" s="10">
        <v>47.4</v>
      </c>
      <c r="F12" s="10">
        <v>29.57</v>
      </c>
      <c r="G12" s="10">
        <v>23.03</v>
      </c>
      <c r="H12" s="10">
        <v>50.31</v>
      </c>
      <c r="I12" s="10">
        <v>21.79</v>
      </c>
      <c r="J12" s="10">
        <v>27.9</v>
      </c>
      <c r="K12" s="10">
        <v>46.09</v>
      </c>
      <c r="L12" s="10">
        <v>28.24</v>
      </c>
      <c r="M12" s="10">
        <v>25.67</v>
      </c>
      <c r="N12" s="20">
        <v>42.9</v>
      </c>
      <c r="O12" s="20">
        <v>25.35</v>
      </c>
      <c r="P12" s="20">
        <v>31.76</v>
      </c>
      <c r="Q12" s="6"/>
    </row>
    <row r="13" spans="1:23" ht="15.5" x14ac:dyDescent="0.35">
      <c r="A13" s="4" t="s">
        <v>16</v>
      </c>
      <c r="B13" s="10">
        <v>38.979999999999997</v>
      </c>
      <c r="C13" s="10">
        <v>29.12</v>
      </c>
      <c r="D13" s="10">
        <v>31.89</v>
      </c>
      <c r="E13" s="10">
        <v>40.64</v>
      </c>
      <c r="F13" s="10">
        <v>30.99</v>
      </c>
      <c r="G13" s="10">
        <v>28.37</v>
      </c>
      <c r="H13" s="10">
        <v>45.15</v>
      </c>
      <c r="I13" s="10">
        <v>34.97</v>
      </c>
      <c r="J13" s="10">
        <v>19.89</v>
      </c>
      <c r="K13" s="10">
        <v>38.71</v>
      </c>
      <c r="L13" s="10">
        <v>28.77</v>
      </c>
      <c r="M13" s="10">
        <v>32.520000000000003</v>
      </c>
      <c r="N13" s="20">
        <v>34.29</v>
      </c>
      <c r="O13" s="20">
        <v>26.69</v>
      </c>
      <c r="P13" s="20">
        <v>39.020000000000003</v>
      </c>
      <c r="Q13" s="6"/>
    </row>
    <row r="14" spans="1:23" ht="15.5" x14ac:dyDescent="0.35">
      <c r="A14" s="4" t="s">
        <v>17</v>
      </c>
      <c r="B14" s="10">
        <v>35.409999999999997</v>
      </c>
      <c r="C14" s="10">
        <v>37.299999999999997</v>
      </c>
      <c r="D14" s="10">
        <v>27.29</v>
      </c>
      <c r="E14" s="10">
        <v>36.06</v>
      </c>
      <c r="F14" s="10">
        <v>34.35</v>
      </c>
      <c r="G14" s="10">
        <v>29.59</v>
      </c>
      <c r="H14" s="10">
        <v>44.47</v>
      </c>
      <c r="I14" s="10">
        <v>34.81</v>
      </c>
      <c r="J14" s="10">
        <v>20.72</v>
      </c>
      <c r="K14" s="10">
        <v>34.619999999999997</v>
      </c>
      <c r="L14" s="10">
        <v>41.19</v>
      </c>
      <c r="M14" s="10">
        <v>24.19</v>
      </c>
      <c r="N14" s="20">
        <v>37.130000000000003</v>
      </c>
      <c r="O14" s="20">
        <v>27.16</v>
      </c>
      <c r="P14" s="20">
        <v>35.71</v>
      </c>
      <c r="Q14" s="6"/>
    </row>
    <row r="15" spans="1:23" ht="15.5" x14ac:dyDescent="0.35">
      <c r="A15" s="4" t="s">
        <v>18</v>
      </c>
      <c r="B15" s="10">
        <v>36.24</v>
      </c>
      <c r="C15" s="10">
        <v>38.39</v>
      </c>
      <c r="D15" s="10">
        <v>25.37</v>
      </c>
      <c r="E15" s="10">
        <v>41.22</v>
      </c>
      <c r="F15" s="10">
        <v>41.23</v>
      </c>
      <c r="G15" s="10">
        <v>17.55</v>
      </c>
      <c r="H15" s="10">
        <v>41.98</v>
      </c>
      <c r="I15" s="10">
        <v>34.83</v>
      </c>
      <c r="J15" s="10">
        <v>23.19</v>
      </c>
      <c r="K15" s="10">
        <v>37.99</v>
      </c>
      <c r="L15" s="10">
        <v>37.42</v>
      </c>
      <c r="M15" s="10">
        <v>24.59</v>
      </c>
      <c r="N15" s="20">
        <v>35.46</v>
      </c>
      <c r="O15" s="20">
        <v>40.47</v>
      </c>
      <c r="P15" s="20">
        <v>24.07</v>
      </c>
      <c r="Q15" s="6"/>
    </row>
    <row r="16" spans="1:23" ht="15.5" x14ac:dyDescent="0.35">
      <c r="A16" s="4" t="s">
        <v>19</v>
      </c>
      <c r="B16" s="10">
        <v>37.11</v>
      </c>
      <c r="C16" s="10">
        <v>33.6</v>
      </c>
      <c r="D16" s="10">
        <v>29.29</v>
      </c>
      <c r="E16" s="10">
        <v>45.99</v>
      </c>
      <c r="F16" s="10">
        <v>27.87</v>
      </c>
      <c r="G16" s="10">
        <v>26.15</v>
      </c>
      <c r="H16" s="10">
        <v>44.13</v>
      </c>
      <c r="I16" s="10">
        <v>26.34</v>
      </c>
      <c r="J16" s="10">
        <v>29.53</v>
      </c>
      <c r="K16" s="10">
        <v>42.4</v>
      </c>
      <c r="L16" s="10">
        <v>43.24</v>
      </c>
      <c r="M16" s="10">
        <v>14.36</v>
      </c>
      <c r="N16" s="20">
        <v>36.950000000000003</v>
      </c>
      <c r="O16" s="20">
        <v>34.24</v>
      </c>
      <c r="P16" s="20">
        <v>28.82</v>
      </c>
      <c r="Q16" s="6"/>
    </row>
    <row r="17" spans="1:17" ht="15.5" x14ac:dyDescent="0.35">
      <c r="A17" s="4" t="s">
        <v>20</v>
      </c>
      <c r="B17" s="10">
        <v>46.54</v>
      </c>
      <c r="C17" s="10">
        <v>19.5</v>
      </c>
      <c r="D17" s="10">
        <v>33.96</v>
      </c>
      <c r="E17" s="10">
        <v>40.99</v>
      </c>
      <c r="F17" s="10">
        <v>24.39</v>
      </c>
      <c r="G17" s="10">
        <v>34.619999999999997</v>
      </c>
      <c r="H17" s="10">
        <v>49.19</v>
      </c>
      <c r="I17" s="10">
        <v>23.09</v>
      </c>
      <c r="J17" s="10">
        <v>27.71</v>
      </c>
      <c r="K17" s="10">
        <v>44.47</v>
      </c>
      <c r="L17" s="10">
        <v>23.7</v>
      </c>
      <c r="M17" s="10">
        <v>31.82</v>
      </c>
      <c r="N17" s="20">
        <v>42.77</v>
      </c>
      <c r="O17" s="20">
        <v>27.41</v>
      </c>
      <c r="P17" s="20">
        <v>29.82</v>
      </c>
      <c r="Q17" s="6"/>
    </row>
    <row r="18" spans="1:17" ht="15.5" x14ac:dyDescent="0.35">
      <c r="A18" s="4" t="s">
        <v>21</v>
      </c>
      <c r="B18" s="10">
        <v>49.78</v>
      </c>
      <c r="C18" s="10">
        <v>4.46</v>
      </c>
      <c r="D18" s="10">
        <v>45.75</v>
      </c>
      <c r="E18" s="10">
        <v>49.1</v>
      </c>
      <c r="F18" s="10">
        <v>0.37</v>
      </c>
      <c r="G18" s="10">
        <v>50.53</v>
      </c>
      <c r="H18" s="10">
        <v>45.12</v>
      </c>
      <c r="I18" s="10">
        <v>3.99</v>
      </c>
      <c r="J18" s="10">
        <v>50.88</v>
      </c>
      <c r="K18" s="10">
        <v>39</v>
      </c>
      <c r="L18" s="10">
        <v>5.31</v>
      </c>
      <c r="M18" s="10">
        <v>55.68</v>
      </c>
      <c r="N18" s="20">
        <v>46.82</v>
      </c>
      <c r="O18" s="20">
        <v>6.6</v>
      </c>
      <c r="P18" s="20">
        <v>46.58</v>
      </c>
      <c r="Q18" s="6"/>
    </row>
    <row r="19" spans="1:17" ht="15.5" x14ac:dyDescent="0.35">
      <c r="A19" s="4" t="s">
        <v>22</v>
      </c>
      <c r="B19" s="10">
        <v>43.39</v>
      </c>
      <c r="C19" s="10">
        <v>17.97</v>
      </c>
      <c r="D19" s="10">
        <v>38.64</v>
      </c>
      <c r="E19" s="10">
        <v>47.02</v>
      </c>
      <c r="F19" s="10">
        <v>16.739999999999998</v>
      </c>
      <c r="G19" s="10">
        <v>36.24</v>
      </c>
      <c r="H19" s="10">
        <v>37.14</v>
      </c>
      <c r="I19" s="10">
        <v>20.46</v>
      </c>
      <c r="J19" s="10">
        <v>42.4</v>
      </c>
      <c r="K19" s="10">
        <v>39.520000000000003</v>
      </c>
      <c r="L19" s="10">
        <v>17.45</v>
      </c>
      <c r="M19" s="10">
        <v>43.03</v>
      </c>
      <c r="N19" s="20">
        <v>37.020000000000003</v>
      </c>
      <c r="O19" s="20">
        <v>22.43</v>
      </c>
      <c r="P19" s="20">
        <v>40.54</v>
      </c>
      <c r="Q19" s="6"/>
    </row>
    <row r="20" spans="1:17" ht="15.5" x14ac:dyDescent="0.35">
      <c r="A20" s="4" t="s">
        <v>23</v>
      </c>
      <c r="B20" s="10">
        <v>43.43</v>
      </c>
      <c r="C20" s="10">
        <v>26.96</v>
      </c>
      <c r="D20" s="10">
        <v>29.61</v>
      </c>
      <c r="E20" s="10">
        <v>49.2</v>
      </c>
      <c r="F20" s="10">
        <v>18.59</v>
      </c>
      <c r="G20" s="10">
        <v>32.21</v>
      </c>
      <c r="H20" s="10">
        <v>39.49</v>
      </c>
      <c r="I20" s="10">
        <v>24.29</v>
      </c>
      <c r="J20" s="10">
        <v>36.22</v>
      </c>
      <c r="K20" s="10">
        <v>43.37</v>
      </c>
      <c r="L20" s="10">
        <v>12.84</v>
      </c>
      <c r="M20" s="10">
        <v>43.79</v>
      </c>
      <c r="N20" s="20">
        <v>43.12</v>
      </c>
      <c r="O20" s="20">
        <v>21.25</v>
      </c>
      <c r="P20" s="20">
        <v>35.630000000000003</v>
      </c>
      <c r="Q20" s="6"/>
    </row>
    <row r="21" spans="1:17" ht="15.5" x14ac:dyDescent="0.35">
      <c r="A21" s="4" t="s">
        <v>24</v>
      </c>
      <c r="B21" s="10">
        <v>44.44</v>
      </c>
      <c r="C21" s="10">
        <v>24.43</v>
      </c>
      <c r="D21" s="10">
        <v>31.13</v>
      </c>
      <c r="E21" s="10">
        <v>47.06</v>
      </c>
      <c r="F21" s="10">
        <v>25.51</v>
      </c>
      <c r="G21" s="10">
        <v>27.42</v>
      </c>
      <c r="H21" s="10">
        <v>38.659999999999997</v>
      </c>
      <c r="I21" s="10">
        <v>36.770000000000003</v>
      </c>
      <c r="J21" s="10">
        <v>24.57</v>
      </c>
      <c r="K21" s="10">
        <v>43.01</v>
      </c>
      <c r="L21" s="10">
        <v>34.799999999999997</v>
      </c>
      <c r="M21" s="10">
        <v>22.19</v>
      </c>
      <c r="N21" s="20">
        <v>46.63</v>
      </c>
      <c r="O21" s="20">
        <v>33.950000000000003</v>
      </c>
      <c r="P21" s="20">
        <v>19.420000000000002</v>
      </c>
      <c r="Q21" s="6"/>
    </row>
    <row r="22" spans="1:17" ht="15.5" x14ac:dyDescent="0.35">
      <c r="A22" s="4" t="s">
        <v>25</v>
      </c>
      <c r="B22" s="10">
        <v>46.04</v>
      </c>
      <c r="C22" s="10">
        <v>30.02</v>
      </c>
      <c r="D22" s="10">
        <v>23.94</v>
      </c>
      <c r="E22" s="10">
        <v>42.72</v>
      </c>
      <c r="F22" s="10">
        <v>35.53</v>
      </c>
      <c r="G22" s="10">
        <v>21.75</v>
      </c>
      <c r="H22" s="10">
        <v>47.78</v>
      </c>
      <c r="I22" s="10">
        <v>27.66</v>
      </c>
      <c r="J22" s="10">
        <v>24.56</v>
      </c>
      <c r="K22" s="10">
        <v>43.57</v>
      </c>
      <c r="L22" s="10">
        <v>38.17</v>
      </c>
      <c r="M22" s="10">
        <v>18.27</v>
      </c>
      <c r="N22" s="20">
        <v>44.93</v>
      </c>
      <c r="O22" s="20">
        <v>32.72</v>
      </c>
      <c r="P22" s="20">
        <v>22.34</v>
      </c>
      <c r="Q22" s="6"/>
    </row>
    <row r="23" spans="1:17" ht="15.5" x14ac:dyDescent="0.35">
      <c r="A23" s="4" t="s">
        <v>26</v>
      </c>
      <c r="B23" s="10">
        <v>34.159999999999997</v>
      </c>
      <c r="C23" s="10">
        <v>31.96</v>
      </c>
      <c r="D23" s="10">
        <v>33.880000000000003</v>
      </c>
      <c r="E23" s="10">
        <v>37.46</v>
      </c>
      <c r="F23" s="10">
        <v>41.21</v>
      </c>
      <c r="G23" s="10">
        <v>21.33</v>
      </c>
      <c r="H23" s="10">
        <v>32.24</v>
      </c>
      <c r="I23" s="10">
        <v>28.41</v>
      </c>
      <c r="J23" s="10">
        <v>39.340000000000003</v>
      </c>
      <c r="K23" s="10">
        <v>31.17</v>
      </c>
      <c r="L23" s="10">
        <v>38.869999999999997</v>
      </c>
      <c r="M23" s="10">
        <v>29.97</v>
      </c>
      <c r="N23" s="20">
        <v>31.94</v>
      </c>
      <c r="O23" s="20">
        <v>48.74</v>
      </c>
      <c r="P23" s="20">
        <v>19.32</v>
      </c>
      <c r="Q23" s="6"/>
    </row>
    <row r="24" spans="1:17" ht="15.5" x14ac:dyDescent="0.35">
      <c r="A24" s="4" t="s">
        <v>27</v>
      </c>
      <c r="B24" s="10">
        <v>33.65</v>
      </c>
      <c r="C24" s="10">
        <v>37.450000000000003</v>
      </c>
      <c r="D24" s="10">
        <v>28.9</v>
      </c>
      <c r="E24" s="10">
        <v>40.93</v>
      </c>
      <c r="F24" s="10">
        <v>37.78</v>
      </c>
      <c r="G24" s="10">
        <v>21.29</v>
      </c>
      <c r="H24" s="10">
        <v>37.729999999999997</v>
      </c>
      <c r="I24" s="10">
        <v>30.19</v>
      </c>
      <c r="J24" s="10">
        <v>32.08</v>
      </c>
      <c r="K24" s="10">
        <v>34.450000000000003</v>
      </c>
      <c r="L24" s="10">
        <v>41</v>
      </c>
      <c r="M24" s="10">
        <v>24.55</v>
      </c>
      <c r="N24" s="20">
        <v>38.119999999999997</v>
      </c>
      <c r="O24" s="20">
        <v>39.520000000000003</v>
      </c>
      <c r="P24" s="20">
        <v>22.36</v>
      </c>
      <c r="Q24" s="6"/>
    </row>
    <row r="25" spans="1:17" ht="15.5" x14ac:dyDescent="0.35">
      <c r="A25" s="4" t="s">
        <v>28</v>
      </c>
      <c r="B25" s="10">
        <v>39.159999999999997</v>
      </c>
      <c r="C25" s="10">
        <v>38.020000000000003</v>
      </c>
      <c r="D25" s="10">
        <v>22.82</v>
      </c>
      <c r="E25" s="10">
        <v>36.979999999999997</v>
      </c>
      <c r="F25" s="10">
        <v>41.66</v>
      </c>
      <c r="G25" s="10">
        <v>21.36</v>
      </c>
      <c r="H25" s="10">
        <v>38.61</v>
      </c>
      <c r="I25" s="10">
        <v>41.37</v>
      </c>
      <c r="J25" s="10">
        <v>20.02</v>
      </c>
      <c r="K25" s="10">
        <v>44.81</v>
      </c>
      <c r="L25" s="10">
        <v>35.26</v>
      </c>
      <c r="M25" s="10">
        <v>19.920000000000002</v>
      </c>
      <c r="N25" s="20">
        <v>40</v>
      </c>
      <c r="O25" s="20">
        <v>39.96</v>
      </c>
      <c r="P25" s="20">
        <v>20.05</v>
      </c>
      <c r="Q25" s="6"/>
    </row>
    <row r="26" spans="1:17" ht="15.5" x14ac:dyDescent="0.35">
      <c r="A26" s="4" t="s">
        <v>29</v>
      </c>
      <c r="B26" s="10">
        <v>38.47</v>
      </c>
      <c r="C26" s="10">
        <v>44.02</v>
      </c>
      <c r="D26" s="10">
        <v>17.5</v>
      </c>
      <c r="E26" s="10">
        <v>39.950000000000003</v>
      </c>
      <c r="F26" s="10">
        <v>37.79</v>
      </c>
      <c r="G26" s="10">
        <v>22.26</v>
      </c>
      <c r="H26" s="10">
        <v>41.26</v>
      </c>
      <c r="I26" s="10">
        <v>37.04</v>
      </c>
      <c r="J26" s="10">
        <v>21.7</v>
      </c>
      <c r="K26" s="10">
        <v>41.59</v>
      </c>
      <c r="L26" s="10">
        <v>30.82</v>
      </c>
      <c r="M26" s="10">
        <v>27.6</v>
      </c>
      <c r="N26" s="20">
        <v>38.04</v>
      </c>
      <c r="O26" s="20">
        <v>34.81</v>
      </c>
      <c r="P26" s="20">
        <v>27.15</v>
      </c>
      <c r="Q26" s="6"/>
    </row>
    <row r="27" spans="1:17" ht="15.5" x14ac:dyDescent="0.35">
      <c r="A27" s="4" t="s">
        <v>30</v>
      </c>
      <c r="B27" s="10">
        <v>42.04</v>
      </c>
      <c r="C27" s="10">
        <v>31.98</v>
      </c>
      <c r="D27" s="10">
        <v>25.98</v>
      </c>
      <c r="E27" s="10">
        <v>43.45</v>
      </c>
      <c r="F27" s="10">
        <v>37.9</v>
      </c>
      <c r="G27" s="10">
        <v>18.649999999999999</v>
      </c>
      <c r="H27" s="10">
        <v>41.51</v>
      </c>
      <c r="I27" s="10">
        <v>33.479999999999997</v>
      </c>
      <c r="J27" s="10">
        <v>25</v>
      </c>
      <c r="K27" s="10">
        <v>41.83</v>
      </c>
      <c r="L27" s="10">
        <v>28.01</v>
      </c>
      <c r="M27" s="10">
        <v>30.16</v>
      </c>
      <c r="N27" s="20">
        <v>43.08</v>
      </c>
      <c r="O27" s="20">
        <v>27.73</v>
      </c>
      <c r="P27" s="20">
        <v>29.2</v>
      </c>
      <c r="Q27" s="6"/>
    </row>
    <row r="28" spans="1:17" ht="15.5" x14ac:dyDescent="0.35">
      <c r="A28" s="4" t="s">
        <v>31</v>
      </c>
      <c r="B28" s="10">
        <v>36.58</v>
      </c>
      <c r="C28" s="10">
        <v>15.14</v>
      </c>
      <c r="D28" s="10">
        <v>48.28</v>
      </c>
      <c r="E28" s="10">
        <v>40.46</v>
      </c>
      <c r="F28" s="10">
        <v>25.42</v>
      </c>
      <c r="G28" s="10">
        <v>34.119999999999997</v>
      </c>
      <c r="H28" s="10">
        <v>37.69</v>
      </c>
      <c r="I28" s="10">
        <v>19.61</v>
      </c>
      <c r="J28" s="10">
        <v>42.7</v>
      </c>
      <c r="K28" s="10">
        <v>39.89</v>
      </c>
      <c r="L28" s="10">
        <v>15.46</v>
      </c>
      <c r="M28" s="10">
        <v>44.65</v>
      </c>
      <c r="N28" s="20">
        <v>43.19</v>
      </c>
      <c r="O28" s="20">
        <v>16.73</v>
      </c>
      <c r="P28" s="20">
        <v>40.08</v>
      </c>
      <c r="Q28" s="6"/>
    </row>
    <row r="29" spans="1:17" ht="15.5" x14ac:dyDescent="0.35">
      <c r="A29" s="4" t="s">
        <v>32</v>
      </c>
      <c r="B29" s="10">
        <v>34.380000000000003</v>
      </c>
      <c r="C29" s="10">
        <v>48.39</v>
      </c>
      <c r="D29" s="10">
        <v>17.23</v>
      </c>
      <c r="E29" s="10">
        <v>35.700000000000003</v>
      </c>
      <c r="F29" s="10">
        <v>49.67</v>
      </c>
      <c r="G29" s="10">
        <v>14.64</v>
      </c>
      <c r="H29" s="10">
        <v>41.4</v>
      </c>
      <c r="I29" s="10">
        <v>41.02</v>
      </c>
      <c r="J29" s="10">
        <v>17.579999999999998</v>
      </c>
      <c r="K29" s="10">
        <v>28.14</v>
      </c>
      <c r="L29" s="10">
        <v>51.88</v>
      </c>
      <c r="M29" s="10">
        <v>19.98</v>
      </c>
      <c r="N29" s="20">
        <v>35.46</v>
      </c>
      <c r="O29" s="20">
        <v>34.950000000000003</v>
      </c>
      <c r="P29" s="20">
        <v>29.59</v>
      </c>
      <c r="Q29" s="6"/>
    </row>
    <row r="30" spans="1:17" ht="15.5" x14ac:dyDescent="0.35">
      <c r="A30" s="4" t="s">
        <v>33</v>
      </c>
      <c r="B30" s="10">
        <v>31.63</v>
      </c>
      <c r="C30" s="10">
        <v>50.71</v>
      </c>
      <c r="D30" s="10">
        <v>17.66</v>
      </c>
      <c r="E30" s="10">
        <v>29.94</v>
      </c>
      <c r="F30" s="10">
        <v>55.02</v>
      </c>
      <c r="G30" s="10">
        <v>15.04</v>
      </c>
      <c r="H30" s="10">
        <v>32.14</v>
      </c>
      <c r="I30" s="10">
        <v>53.58</v>
      </c>
      <c r="J30" s="10">
        <v>14.28</v>
      </c>
      <c r="K30" s="10">
        <v>33.67</v>
      </c>
      <c r="L30" s="10">
        <v>57.61</v>
      </c>
      <c r="M30" s="10">
        <v>8.7100000000000009</v>
      </c>
      <c r="N30" s="20">
        <v>35.4</v>
      </c>
      <c r="O30" s="20">
        <v>50.67</v>
      </c>
      <c r="P30" s="20">
        <v>13.92</v>
      </c>
      <c r="Q30" s="6"/>
    </row>
    <row r="31" spans="1:17" ht="15.5" x14ac:dyDescent="0.35">
      <c r="A31" s="4" t="s">
        <v>34</v>
      </c>
      <c r="B31" s="10">
        <v>27.08</v>
      </c>
      <c r="C31" s="10">
        <v>50.77</v>
      </c>
      <c r="D31" s="10">
        <v>22.15</v>
      </c>
      <c r="E31" s="10">
        <v>27.79</v>
      </c>
      <c r="F31" s="10">
        <v>57.11</v>
      </c>
      <c r="G31" s="10">
        <v>15.1</v>
      </c>
      <c r="H31" s="10">
        <v>25.93</v>
      </c>
      <c r="I31" s="10">
        <v>62.38</v>
      </c>
      <c r="J31" s="10">
        <v>11.69</v>
      </c>
      <c r="K31" s="10">
        <v>40</v>
      </c>
      <c r="L31" s="10">
        <v>43.48</v>
      </c>
      <c r="M31" s="10">
        <v>16.510000000000002</v>
      </c>
      <c r="N31" s="20">
        <v>34.92</v>
      </c>
      <c r="O31" s="20">
        <v>43.06</v>
      </c>
      <c r="P31" s="20">
        <v>22.02</v>
      </c>
      <c r="Q31" s="6"/>
    </row>
    <row r="32" spans="1:17" ht="15.5" x14ac:dyDescent="0.35">
      <c r="A32" s="4" t="s">
        <v>35</v>
      </c>
      <c r="B32" s="10">
        <v>37.22</v>
      </c>
      <c r="C32" s="10">
        <v>43.99</v>
      </c>
      <c r="D32" s="10">
        <v>18.79</v>
      </c>
      <c r="E32" s="10">
        <v>29.49</v>
      </c>
      <c r="F32" s="10">
        <v>55.84</v>
      </c>
      <c r="G32" s="10">
        <v>14.67</v>
      </c>
      <c r="H32" s="10">
        <v>37.54</v>
      </c>
      <c r="I32" s="10">
        <v>43.38</v>
      </c>
      <c r="J32" s="10">
        <v>19.079999999999998</v>
      </c>
      <c r="K32" s="10">
        <v>34.270000000000003</v>
      </c>
      <c r="L32" s="10">
        <v>47.08</v>
      </c>
      <c r="M32" s="10">
        <v>18.64</v>
      </c>
      <c r="N32" s="20">
        <v>38.25</v>
      </c>
      <c r="O32" s="20">
        <v>36.950000000000003</v>
      </c>
      <c r="P32" s="20">
        <v>24.79</v>
      </c>
      <c r="Q32" s="6"/>
    </row>
    <row r="33" spans="1:17" ht="15.5" x14ac:dyDescent="0.35">
      <c r="A33" s="4" t="s">
        <v>36</v>
      </c>
      <c r="B33" s="10">
        <v>38.76</v>
      </c>
      <c r="C33" s="10">
        <v>3.57</v>
      </c>
      <c r="D33" s="10">
        <v>57.67</v>
      </c>
      <c r="E33" s="10">
        <v>45.38</v>
      </c>
      <c r="F33" s="10">
        <v>5.09</v>
      </c>
      <c r="G33" s="10">
        <v>49.53</v>
      </c>
      <c r="H33" s="10">
        <v>50.38</v>
      </c>
      <c r="I33" s="10">
        <v>2.06</v>
      </c>
      <c r="J33" s="10">
        <v>47.57</v>
      </c>
      <c r="K33" s="10">
        <v>43.28</v>
      </c>
      <c r="L33" s="10">
        <v>0.69</v>
      </c>
      <c r="M33" s="10">
        <v>56.03</v>
      </c>
      <c r="N33" s="20">
        <v>45.8</v>
      </c>
      <c r="O33" s="20" t="s">
        <v>153</v>
      </c>
      <c r="P33" s="20">
        <v>52.78</v>
      </c>
      <c r="Q33" s="6"/>
    </row>
    <row r="34" spans="1:17" ht="15.5" x14ac:dyDescent="0.35">
      <c r="A34" s="4" t="s">
        <v>37</v>
      </c>
      <c r="B34" s="10">
        <v>35.68</v>
      </c>
      <c r="C34" s="10">
        <v>10.79</v>
      </c>
      <c r="D34" s="10">
        <v>53.54</v>
      </c>
      <c r="E34" s="10">
        <v>44.67</v>
      </c>
      <c r="F34" s="10">
        <v>5.5</v>
      </c>
      <c r="G34" s="10">
        <v>49.83</v>
      </c>
      <c r="H34" s="10">
        <v>37.81</v>
      </c>
      <c r="I34" s="10">
        <v>12.59</v>
      </c>
      <c r="J34" s="10">
        <v>49.6</v>
      </c>
      <c r="K34" s="10">
        <v>36.86</v>
      </c>
      <c r="L34" s="10">
        <v>13.4</v>
      </c>
      <c r="M34" s="10">
        <v>49.74</v>
      </c>
      <c r="N34" s="20">
        <v>31.35</v>
      </c>
      <c r="O34" s="20">
        <v>15.97</v>
      </c>
      <c r="P34" s="20">
        <v>52.68</v>
      </c>
      <c r="Q34" s="6"/>
    </row>
    <row r="35" spans="1:17" ht="15.5" x14ac:dyDescent="0.35">
      <c r="A35" s="4" t="s">
        <v>38</v>
      </c>
      <c r="B35" s="10">
        <v>48.31</v>
      </c>
      <c r="C35" s="10">
        <v>1.81</v>
      </c>
      <c r="D35" s="10">
        <v>49.88</v>
      </c>
      <c r="E35" s="10">
        <v>51.23</v>
      </c>
      <c r="F35" s="10" t="s">
        <v>116</v>
      </c>
      <c r="G35" s="10">
        <v>48.77</v>
      </c>
      <c r="H35" s="10">
        <v>52.61</v>
      </c>
      <c r="I35" s="10">
        <v>2.0699999999999998</v>
      </c>
      <c r="J35" s="10">
        <v>45.33</v>
      </c>
      <c r="K35" s="10">
        <v>44.01</v>
      </c>
      <c r="L35" s="10" t="s">
        <v>116</v>
      </c>
      <c r="M35" s="10">
        <v>55.99</v>
      </c>
      <c r="N35" s="20">
        <v>51.55</v>
      </c>
      <c r="O35" s="20" t="s">
        <v>153</v>
      </c>
      <c r="P35" s="20">
        <v>48.45</v>
      </c>
      <c r="Q35" s="6"/>
    </row>
    <row r="36" spans="1:17" ht="15.5" x14ac:dyDescent="0.35">
      <c r="A36" s="4" t="s">
        <v>39</v>
      </c>
      <c r="B36" s="10">
        <v>44.7</v>
      </c>
      <c r="C36" s="10">
        <v>4.41</v>
      </c>
      <c r="D36" s="10">
        <v>50.89</v>
      </c>
      <c r="E36" s="10">
        <v>45.3</v>
      </c>
      <c r="F36" s="10">
        <v>8.35</v>
      </c>
      <c r="G36" s="10">
        <v>46.35</v>
      </c>
      <c r="H36" s="10">
        <v>36.659999999999997</v>
      </c>
      <c r="I36" s="10">
        <v>8.1999999999999993</v>
      </c>
      <c r="J36" s="10">
        <v>55.14</v>
      </c>
      <c r="K36" s="10">
        <v>37.26</v>
      </c>
      <c r="L36" s="10">
        <v>18.66</v>
      </c>
      <c r="M36" s="10">
        <v>44.08</v>
      </c>
      <c r="N36" s="20">
        <v>38.11</v>
      </c>
      <c r="O36" s="20" t="s">
        <v>153</v>
      </c>
      <c r="P36" s="20">
        <v>52.85</v>
      </c>
      <c r="Q36" s="6"/>
    </row>
    <row r="37" spans="1:17" ht="15.5" x14ac:dyDescent="0.35">
      <c r="A37" s="4" t="s">
        <v>40</v>
      </c>
      <c r="B37" s="10">
        <v>44.79</v>
      </c>
      <c r="C37" s="10">
        <v>4.82</v>
      </c>
      <c r="D37" s="10">
        <v>50.39</v>
      </c>
      <c r="E37" s="10">
        <v>43.77</v>
      </c>
      <c r="F37" s="10">
        <v>3.72</v>
      </c>
      <c r="G37" s="10">
        <v>52.51</v>
      </c>
      <c r="H37" s="10">
        <v>54.16</v>
      </c>
      <c r="I37" s="10">
        <v>3.54</v>
      </c>
      <c r="J37" s="10">
        <v>42.31</v>
      </c>
      <c r="K37" s="10">
        <v>46.93</v>
      </c>
      <c r="L37" s="10">
        <v>2.6</v>
      </c>
      <c r="M37" s="10">
        <v>50.47</v>
      </c>
      <c r="N37" s="20">
        <v>42.24</v>
      </c>
      <c r="O37" s="20" t="s">
        <v>153</v>
      </c>
      <c r="P37" s="20">
        <v>57.76</v>
      </c>
      <c r="Q37" s="6"/>
    </row>
    <row r="38" spans="1:17" ht="15.5" x14ac:dyDescent="0.35">
      <c r="A38" s="4" t="s">
        <v>41</v>
      </c>
      <c r="B38" s="10">
        <v>48.86</v>
      </c>
      <c r="C38" s="10">
        <v>3.5</v>
      </c>
      <c r="D38" s="10">
        <v>47.64</v>
      </c>
      <c r="E38" s="10">
        <v>45.84</v>
      </c>
      <c r="F38" s="10">
        <v>0.91</v>
      </c>
      <c r="G38" s="10">
        <v>53.25</v>
      </c>
      <c r="H38" s="10">
        <v>41.07</v>
      </c>
      <c r="I38" s="10">
        <v>0.64</v>
      </c>
      <c r="J38" s="10">
        <v>58.3</v>
      </c>
      <c r="K38" s="10">
        <v>58</v>
      </c>
      <c r="L38" s="10">
        <v>3.42</v>
      </c>
      <c r="M38" s="10">
        <v>38.58</v>
      </c>
      <c r="N38" s="20">
        <v>52.4</v>
      </c>
      <c r="O38" s="20" t="s">
        <v>153</v>
      </c>
      <c r="P38" s="20">
        <v>44.05</v>
      </c>
      <c r="Q38" s="6"/>
    </row>
    <row r="39" spans="1:17" ht="15.5" x14ac:dyDescent="0.35">
      <c r="A39" s="4" t="s">
        <v>42</v>
      </c>
      <c r="B39" s="10">
        <v>48.98</v>
      </c>
      <c r="C39" s="10">
        <v>1.31</v>
      </c>
      <c r="D39" s="10">
        <v>49.71</v>
      </c>
      <c r="E39" s="10">
        <v>46.56</v>
      </c>
      <c r="F39" s="10">
        <v>3.82</v>
      </c>
      <c r="G39" s="10">
        <v>49.62</v>
      </c>
      <c r="H39" s="10">
        <v>47</v>
      </c>
      <c r="I39" s="10">
        <v>2.62</v>
      </c>
      <c r="J39" s="10">
        <v>50.38</v>
      </c>
      <c r="K39" s="10">
        <v>46.06</v>
      </c>
      <c r="L39" s="10">
        <v>2.71</v>
      </c>
      <c r="M39" s="10">
        <v>51.22</v>
      </c>
      <c r="N39" s="20">
        <v>49.94</v>
      </c>
      <c r="O39" s="20" t="s">
        <v>153</v>
      </c>
      <c r="P39" s="20">
        <v>50.06</v>
      </c>
      <c r="Q39" s="6"/>
    </row>
    <row r="40" spans="1:17" ht="15.5" x14ac:dyDescent="0.35">
      <c r="A40" s="4" t="s">
        <v>43</v>
      </c>
      <c r="B40" s="10">
        <v>43.05</v>
      </c>
      <c r="C40" s="10" t="s">
        <v>116</v>
      </c>
      <c r="D40" s="10">
        <v>56.95</v>
      </c>
      <c r="E40" s="10">
        <v>43.03</v>
      </c>
      <c r="F40" s="10">
        <v>0.68</v>
      </c>
      <c r="G40" s="10">
        <v>56.28</v>
      </c>
      <c r="H40" s="10">
        <v>44.15</v>
      </c>
      <c r="I40" s="10" t="s">
        <v>116</v>
      </c>
      <c r="J40" s="10">
        <v>55.85</v>
      </c>
      <c r="K40" s="10">
        <v>40.97</v>
      </c>
      <c r="L40" s="10" t="s">
        <v>116</v>
      </c>
      <c r="M40" s="10">
        <v>59.03</v>
      </c>
      <c r="N40" s="20">
        <v>41.2</v>
      </c>
      <c r="O40" s="20" t="s">
        <v>153</v>
      </c>
      <c r="P40" s="20">
        <v>58.8</v>
      </c>
      <c r="Q40" s="6"/>
    </row>
    <row r="41" spans="1:17" ht="15.5" x14ac:dyDescent="0.35">
      <c r="A41" s="4" t="s">
        <v>44</v>
      </c>
      <c r="B41" s="10">
        <v>32.630000000000003</v>
      </c>
      <c r="C41" s="10">
        <v>27.15</v>
      </c>
      <c r="D41" s="10">
        <v>40.22</v>
      </c>
      <c r="E41" s="10">
        <v>42.82</v>
      </c>
      <c r="F41" s="10">
        <v>28.25</v>
      </c>
      <c r="G41" s="10">
        <v>28.92</v>
      </c>
      <c r="H41" s="10">
        <v>55.66</v>
      </c>
      <c r="I41" s="10">
        <v>15.05</v>
      </c>
      <c r="J41" s="10">
        <v>29.3</v>
      </c>
      <c r="K41" s="10">
        <v>38.67</v>
      </c>
      <c r="L41" s="10">
        <v>28.2</v>
      </c>
      <c r="M41" s="10">
        <v>33.130000000000003</v>
      </c>
      <c r="N41" s="20">
        <v>49.08</v>
      </c>
      <c r="O41" s="20">
        <v>27.28</v>
      </c>
      <c r="P41" s="20" t="s">
        <v>153</v>
      </c>
      <c r="Q41" s="6"/>
    </row>
    <row r="42" spans="1:17" ht="15.5" hidden="1" x14ac:dyDescent="0.35">
      <c r="A42" s="4" t="s">
        <v>45</v>
      </c>
      <c r="B42" s="11">
        <v>39.35</v>
      </c>
      <c r="C42" s="11">
        <v>30.57</v>
      </c>
      <c r="D42" s="5">
        <v>30.08</v>
      </c>
      <c r="E42" s="8" t="s">
        <v>117</v>
      </c>
      <c r="F42" s="8" t="s">
        <v>118</v>
      </c>
      <c r="G42" s="8">
        <v>25.84</v>
      </c>
      <c r="H42" s="8" t="s">
        <v>119</v>
      </c>
      <c r="I42" s="8" t="s">
        <v>120</v>
      </c>
      <c r="J42" s="8">
        <v>27.27</v>
      </c>
      <c r="K42" s="11">
        <v>39.54</v>
      </c>
      <c r="L42" s="11">
        <v>32.979999999999997</v>
      </c>
      <c r="M42" s="8">
        <v>27.48</v>
      </c>
      <c r="N42" s="8" t="s">
        <v>121</v>
      </c>
      <c r="O42" s="8" t="s">
        <v>122</v>
      </c>
      <c r="P42" s="8">
        <v>42.53</v>
      </c>
      <c r="Q42" s="6"/>
    </row>
  </sheetData>
  <mergeCells count="6">
    <mergeCell ref="A1:P1"/>
    <mergeCell ref="B2:D2"/>
    <mergeCell ref="E2:G2"/>
    <mergeCell ref="H2:J2"/>
    <mergeCell ref="K2:M2"/>
    <mergeCell ref="N2:P2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0"/>
  <sheetViews>
    <sheetView zoomScale="58" zoomScaleNormal="58" workbookViewId="0">
      <selection activeCell="O27" sqref="O27"/>
    </sheetView>
  </sheetViews>
  <sheetFormatPr defaultColWidth="11.25" defaultRowHeight="15" customHeight="1" x14ac:dyDescent="0.35"/>
  <cols>
    <col min="1" max="1" width="45.33203125" customWidth="1"/>
    <col min="2" max="6" width="10.08203125" customWidth="1"/>
    <col min="7" max="26" width="8.5" customWidth="1"/>
  </cols>
  <sheetData>
    <row r="1" spans="1:12" ht="15" customHeight="1" x14ac:dyDescent="0.35">
      <c r="A1" s="44" t="s">
        <v>123</v>
      </c>
      <c r="B1" s="45"/>
      <c r="C1" s="45"/>
      <c r="D1" s="45"/>
      <c r="E1" s="45"/>
      <c r="F1" s="46"/>
      <c r="H1" s="6"/>
    </row>
    <row r="2" spans="1:12" ht="15.5" x14ac:dyDescent="0.35">
      <c r="A2" s="47"/>
      <c r="B2" s="48"/>
      <c r="C2" s="48"/>
      <c r="D2" s="48"/>
      <c r="E2" s="48"/>
      <c r="F2" s="49"/>
      <c r="H2" s="6"/>
    </row>
    <row r="3" spans="1:12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6"/>
    </row>
    <row r="4" spans="1:12" ht="15" customHeight="1" x14ac:dyDescent="0.35">
      <c r="A4" s="4" t="s">
        <v>7</v>
      </c>
      <c r="B4" s="5">
        <v>97.58</v>
      </c>
      <c r="C4" s="5">
        <v>98.47</v>
      </c>
      <c r="D4" s="5">
        <v>97.14</v>
      </c>
      <c r="E4" s="5">
        <v>97.35</v>
      </c>
      <c r="F4" s="5">
        <v>97.65</v>
      </c>
      <c r="H4" s="6"/>
    </row>
    <row r="5" spans="1:12" ht="15.5" x14ac:dyDescent="0.35">
      <c r="A5" s="4" t="s">
        <v>8</v>
      </c>
      <c r="B5" s="5">
        <v>100</v>
      </c>
      <c r="C5" s="5">
        <v>97.2</v>
      </c>
      <c r="D5" s="5">
        <v>100</v>
      </c>
      <c r="E5" s="5">
        <v>98.77</v>
      </c>
      <c r="F5" s="5">
        <v>100</v>
      </c>
      <c r="H5" s="6"/>
    </row>
    <row r="6" spans="1:12" ht="15.5" x14ac:dyDescent="0.35">
      <c r="A6" s="4" t="s">
        <v>9</v>
      </c>
      <c r="B6" s="5">
        <v>97.41</v>
      </c>
      <c r="C6" s="5">
        <v>98.17</v>
      </c>
      <c r="D6" s="5">
        <v>94.65</v>
      </c>
      <c r="E6" s="5">
        <v>91.89</v>
      </c>
      <c r="F6" s="5">
        <v>94.93</v>
      </c>
      <c r="H6" s="32" t="s">
        <v>2</v>
      </c>
      <c r="I6" s="32" t="s">
        <v>3</v>
      </c>
      <c r="J6" s="32" t="s">
        <v>4</v>
      </c>
      <c r="K6" s="32" t="s">
        <v>5</v>
      </c>
      <c r="L6" s="32" t="s">
        <v>6</v>
      </c>
    </row>
    <row r="7" spans="1:12" ht="15.5" x14ac:dyDescent="0.35">
      <c r="A7" s="4" t="s">
        <v>10</v>
      </c>
      <c r="B7" s="5">
        <v>97.36</v>
      </c>
      <c r="C7" s="5">
        <v>98.88</v>
      </c>
      <c r="D7" s="5">
        <v>96.67</v>
      </c>
      <c r="E7" s="5">
        <v>88.84</v>
      </c>
      <c r="F7" s="5">
        <v>89.13</v>
      </c>
      <c r="H7" s="31">
        <v>97.36</v>
      </c>
      <c r="I7" s="31">
        <v>98.88</v>
      </c>
      <c r="J7" s="31">
        <v>96.67</v>
      </c>
      <c r="K7" s="31">
        <v>88.84</v>
      </c>
      <c r="L7" s="31">
        <v>89.13</v>
      </c>
    </row>
    <row r="8" spans="1:12" ht="15.5" x14ac:dyDescent="0.35">
      <c r="A8" s="4" t="s">
        <v>11</v>
      </c>
      <c r="B8" s="5">
        <v>96.95</v>
      </c>
      <c r="C8" s="5">
        <v>93.1</v>
      </c>
      <c r="D8" s="5">
        <v>94.2</v>
      </c>
      <c r="E8" s="5">
        <v>94.55</v>
      </c>
      <c r="F8" s="5">
        <v>97.14</v>
      </c>
      <c r="H8" s="6"/>
    </row>
    <row r="9" spans="1:12" ht="15.5" x14ac:dyDescent="0.35">
      <c r="A9" s="4" t="s">
        <v>12</v>
      </c>
      <c r="B9" s="5">
        <v>92.46</v>
      </c>
      <c r="C9" s="5">
        <v>96.63</v>
      </c>
      <c r="D9" s="5">
        <v>97.04</v>
      </c>
      <c r="E9" s="5">
        <v>98.04</v>
      </c>
      <c r="F9" s="5">
        <v>96.87</v>
      </c>
      <c r="H9" s="6"/>
    </row>
    <row r="10" spans="1:12" ht="15.5" x14ac:dyDescent="0.35">
      <c r="A10" s="4" t="s">
        <v>13</v>
      </c>
      <c r="B10" s="5">
        <v>93.12</v>
      </c>
      <c r="C10" s="5">
        <v>93.34</v>
      </c>
      <c r="D10" s="5">
        <v>85.28</v>
      </c>
      <c r="E10" s="5">
        <v>93.39</v>
      </c>
      <c r="F10" s="5">
        <v>95.19</v>
      </c>
      <c r="H10" s="6"/>
    </row>
    <row r="11" spans="1:12" ht="15.5" x14ac:dyDescent="0.35">
      <c r="A11" s="4" t="s">
        <v>14</v>
      </c>
      <c r="B11" s="5">
        <v>96.16</v>
      </c>
      <c r="C11" s="5">
        <v>97.37</v>
      </c>
      <c r="D11" s="5">
        <v>98.22</v>
      </c>
      <c r="E11" s="5">
        <v>96.84</v>
      </c>
      <c r="F11" s="5">
        <v>92.4</v>
      </c>
      <c r="H11" s="6"/>
    </row>
    <row r="12" spans="1:12" ht="15.5" x14ac:dyDescent="0.35">
      <c r="A12" s="4" t="s">
        <v>15</v>
      </c>
      <c r="B12" s="5">
        <v>97.09</v>
      </c>
      <c r="C12" s="5">
        <v>90.5</v>
      </c>
      <c r="D12" s="5">
        <v>97.11</v>
      </c>
      <c r="E12" s="5">
        <v>98.79</v>
      </c>
      <c r="F12" s="5">
        <v>95.7</v>
      </c>
      <c r="H12" s="6"/>
    </row>
    <row r="13" spans="1:12" ht="15.5" x14ac:dyDescent="0.35">
      <c r="A13" s="4" t="s">
        <v>16</v>
      </c>
      <c r="B13" s="5">
        <v>94.03</v>
      </c>
      <c r="C13" s="5">
        <v>94.9</v>
      </c>
      <c r="D13" s="5">
        <v>95.74</v>
      </c>
      <c r="E13" s="5">
        <v>87.09</v>
      </c>
      <c r="F13" s="5">
        <v>97.64</v>
      </c>
      <c r="H13" s="6"/>
    </row>
    <row r="14" spans="1:12" ht="15.5" x14ac:dyDescent="0.35">
      <c r="A14" s="4" t="s">
        <v>17</v>
      </c>
      <c r="B14" s="5">
        <v>100</v>
      </c>
      <c r="C14" s="5">
        <v>94.85</v>
      </c>
      <c r="D14" s="5">
        <v>98.29</v>
      </c>
      <c r="E14" s="5">
        <v>92.48</v>
      </c>
      <c r="F14" s="5">
        <v>90.21</v>
      </c>
      <c r="H14" s="6"/>
    </row>
    <row r="15" spans="1:12" ht="15.5" x14ac:dyDescent="0.35">
      <c r="A15" s="4" t="s">
        <v>18</v>
      </c>
      <c r="B15" s="5">
        <v>93.54</v>
      </c>
      <c r="C15" s="5">
        <v>91.11</v>
      </c>
      <c r="D15" s="5">
        <v>87.28</v>
      </c>
      <c r="E15" s="5">
        <v>91.42</v>
      </c>
      <c r="F15" s="5">
        <v>91.64</v>
      </c>
      <c r="H15" s="6"/>
    </row>
    <row r="16" spans="1:12" ht="15.5" x14ac:dyDescent="0.35">
      <c r="A16" s="4" t="s">
        <v>19</v>
      </c>
      <c r="B16" s="5">
        <v>98.19</v>
      </c>
      <c r="C16" s="5">
        <v>93.46</v>
      </c>
      <c r="D16" s="5">
        <v>96.29</v>
      </c>
      <c r="E16" s="5">
        <v>96.29</v>
      </c>
      <c r="F16" s="5">
        <v>93.04</v>
      </c>
      <c r="H16" s="6"/>
    </row>
    <row r="17" spans="1:8" ht="15.5" x14ac:dyDescent="0.35">
      <c r="A17" s="4" t="s">
        <v>20</v>
      </c>
      <c r="B17" s="5">
        <v>94.29</v>
      </c>
      <c r="C17" s="5">
        <v>92.23</v>
      </c>
      <c r="D17" s="5">
        <v>85.4</v>
      </c>
      <c r="E17" s="5">
        <v>77.16</v>
      </c>
      <c r="F17" s="5">
        <v>89.1</v>
      </c>
      <c r="H17" s="6"/>
    </row>
    <row r="18" spans="1:8" ht="15.5" x14ac:dyDescent="0.35">
      <c r="A18" s="4" t="s">
        <v>21</v>
      </c>
      <c r="B18" s="5">
        <v>82.85</v>
      </c>
      <c r="C18" s="5">
        <v>88.28</v>
      </c>
      <c r="D18" s="5">
        <v>80.760000000000005</v>
      </c>
      <c r="E18" s="5">
        <v>94.18</v>
      </c>
      <c r="F18" s="5">
        <v>87.26</v>
      </c>
      <c r="H18" s="6"/>
    </row>
    <row r="19" spans="1:8" ht="15.5" x14ac:dyDescent="0.35">
      <c r="A19" s="4" t="s">
        <v>22</v>
      </c>
      <c r="B19" s="5">
        <v>98.89</v>
      </c>
      <c r="C19" s="5">
        <v>93.81</v>
      </c>
      <c r="D19" s="5">
        <v>92.39</v>
      </c>
      <c r="E19" s="5">
        <v>92.99</v>
      </c>
      <c r="F19" s="5">
        <v>93.52</v>
      </c>
      <c r="H19" s="6"/>
    </row>
    <row r="20" spans="1:8" ht="15.5" x14ac:dyDescent="0.35">
      <c r="A20" s="4" t="s">
        <v>23</v>
      </c>
      <c r="B20" s="5">
        <v>87.62</v>
      </c>
      <c r="C20" s="5">
        <v>89.54</v>
      </c>
      <c r="D20" s="5">
        <v>88.89</v>
      </c>
      <c r="E20" s="5">
        <v>85.41</v>
      </c>
      <c r="F20" s="5">
        <v>88.37</v>
      </c>
      <c r="H20" s="6"/>
    </row>
    <row r="21" spans="1:8" ht="15.5" x14ac:dyDescent="0.35">
      <c r="A21" s="4" t="s">
        <v>24</v>
      </c>
      <c r="B21" s="5">
        <v>99.17</v>
      </c>
      <c r="C21" s="5">
        <v>95.25</v>
      </c>
      <c r="D21" s="5">
        <v>97.34</v>
      </c>
      <c r="E21" s="5">
        <v>99</v>
      </c>
      <c r="F21" s="5">
        <v>94.68</v>
      </c>
      <c r="H21" s="6"/>
    </row>
    <row r="22" spans="1:8" ht="15.5" x14ac:dyDescent="0.35">
      <c r="A22" s="4" t="s">
        <v>25</v>
      </c>
      <c r="B22" s="5">
        <v>97.68</v>
      </c>
      <c r="C22" s="5">
        <v>99.01</v>
      </c>
      <c r="D22" s="5">
        <v>99.61</v>
      </c>
      <c r="E22" s="5">
        <v>98.72</v>
      </c>
      <c r="F22" s="5">
        <v>98.07</v>
      </c>
      <c r="H22" s="6"/>
    </row>
    <row r="23" spans="1:8" ht="15.5" x14ac:dyDescent="0.35">
      <c r="A23" s="4" t="s">
        <v>26</v>
      </c>
      <c r="B23" s="5">
        <v>100</v>
      </c>
      <c r="C23" s="5">
        <v>100</v>
      </c>
      <c r="D23" s="5">
        <v>100</v>
      </c>
      <c r="E23" s="5">
        <v>100</v>
      </c>
      <c r="F23" s="5">
        <v>98.6</v>
      </c>
      <c r="H23" s="6"/>
    </row>
    <row r="24" spans="1:8" ht="15.5" x14ac:dyDescent="0.35">
      <c r="A24" s="4" t="s">
        <v>27</v>
      </c>
      <c r="B24" s="5">
        <v>98.67</v>
      </c>
      <c r="C24" s="5">
        <v>99.24</v>
      </c>
      <c r="D24" s="5">
        <v>97.17</v>
      </c>
      <c r="E24" s="5">
        <v>100</v>
      </c>
      <c r="F24" s="5">
        <v>99.55</v>
      </c>
      <c r="H24" s="6"/>
    </row>
    <row r="25" spans="1:8" ht="15.5" x14ac:dyDescent="0.35">
      <c r="A25" s="4" t="s">
        <v>28</v>
      </c>
      <c r="B25" s="5">
        <v>96.54</v>
      </c>
      <c r="C25" s="5">
        <v>100</v>
      </c>
      <c r="D25" s="5">
        <v>99.72</v>
      </c>
      <c r="E25" s="5">
        <v>100</v>
      </c>
      <c r="F25" s="5">
        <v>100</v>
      </c>
      <c r="H25" s="6"/>
    </row>
    <row r="26" spans="1:8" ht="15.5" x14ac:dyDescent="0.35">
      <c r="A26" s="4" t="s">
        <v>29</v>
      </c>
      <c r="B26" s="5">
        <v>97.52</v>
      </c>
      <c r="C26" s="5">
        <v>100</v>
      </c>
      <c r="D26" s="5">
        <v>94.99</v>
      </c>
      <c r="E26" s="5">
        <v>98.17</v>
      </c>
      <c r="F26" s="5">
        <v>98.7</v>
      </c>
      <c r="H26" s="6"/>
    </row>
    <row r="27" spans="1:8" ht="15.5" x14ac:dyDescent="0.35">
      <c r="A27" s="4" t="s">
        <v>30</v>
      </c>
      <c r="B27" s="5">
        <v>98.22</v>
      </c>
      <c r="C27" s="5">
        <v>95.44</v>
      </c>
      <c r="D27" s="5">
        <v>95.66</v>
      </c>
      <c r="E27" s="5">
        <v>96.38</v>
      </c>
      <c r="F27" s="5">
        <v>96.89</v>
      </c>
      <c r="H27" s="6"/>
    </row>
    <row r="28" spans="1:8" ht="15.5" x14ac:dyDescent="0.35">
      <c r="A28" s="4" t="s">
        <v>31</v>
      </c>
      <c r="B28" s="5">
        <v>83.07</v>
      </c>
      <c r="C28" s="5">
        <v>93.86</v>
      </c>
      <c r="D28" s="5">
        <v>96</v>
      </c>
      <c r="E28" s="5">
        <v>92.37</v>
      </c>
      <c r="F28" s="5">
        <v>92.83</v>
      </c>
      <c r="H28" s="6"/>
    </row>
    <row r="29" spans="1:8" ht="15.5" x14ac:dyDescent="0.35">
      <c r="A29" s="4" t="s">
        <v>32</v>
      </c>
      <c r="B29" s="5">
        <v>99.53</v>
      </c>
      <c r="C29" s="5">
        <v>99.17</v>
      </c>
      <c r="D29" s="5">
        <v>93.51</v>
      </c>
      <c r="E29" s="5">
        <v>97.67</v>
      </c>
      <c r="F29" s="5">
        <v>100</v>
      </c>
      <c r="H29" s="6"/>
    </row>
    <row r="30" spans="1:8" ht="15.5" x14ac:dyDescent="0.35">
      <c r="A30" s="4" t="s">
        <v>33</v>
      </c>
      <c r="B30" s="5">
        <v>99.48</v>
      </c>
      <c r="C30" s="5">
        <v>96.91</v>
      </c>
      <c r="D30" s="5">
        <v>98.59</v>
      </c>
      <c r="E30" s="5">
        <v>100</v>
      </c>
      <c r="F30" s="5">
        <v>97.36</v>
      </c>
      <c r="H30" s="6"/>
    </row>
    <row r="31" spans="1:8" ht="15.5" x14ac:dyDescent="0.35">
      <c r="A31" s="4" t="s">
        <v>34</v>
      </c>
      <c r="B31" s="5">
        <v>97.48</v>
      </c>
      <c r="C31" s="5">
        <v>99.72</v>
      </c>
      <c r="D31" s="5">
        <v>96.77</v>
      </c>
      <c r="E31" s="5">
        <v>99.72</v>
      </c>
      <c r="F31" s="5">
        <v>99.13</v>
      </c>
      <c r="H31" s="6"/>
    </row>
    <row r="32" spans="1:8" ht="15.5" x14ac:dyDescent="0.35">
      <c r="A32" s="4" t="s">
        <v>35</v>
      </c>
      <c r="B32" s="5">
        <v>99.28</v>
      </c>
      <c r="C32" s="5">
        <v>96.84</v>
      </c>
      <c r="D32" s="5">
        <v>95.43</v>
      </c>
      <c r="E32" s="5">
        <v>97.02</v>
      </c>
      <c r="F32" s="5">
        <v>96.37</v>
      </c>
      <c r="H32" s="6"/>
    </row>
    <row r="33" spans="1:8" ht="15.5" x14ac:dyDescent="0.35">
      <c r="A33" s="4" t="s">
        <v>36</v>
      </c>
      <c r="B33" s="5">
        <v>82.95</v>
      </c>
      <c r="C33" s="5">
        <v>89.83</v>
      </c>
      <c r="D33" s="5">
        <v>93.62</v>
      </c>
      <c r="E33" s="5">
        <v>89.43</v>
      </c>
      <c r="F33" s="5">
        <v>98.01</v>
      </c>
      <c r="H33" s="6"/>
    </row>
    <row r="34" spans="1:8" ht="15.5" x14ac:dyDescent="0.35">
      <c r="A34" s="4" t="s">
        <v>37</v>
      </c>
      <c r="B34" s="5">
        <v>100</v>
      </c>
      <c r="C34" s="5">
        <v>85.84</v>
      </c>
      <c r="D34" s="5">
        <v>92.06</v>
      </c>
      <c r="E34" s="5">
        <v>100</v>
      </c>
      <c r="F34" s="5">
        <v>100</v>
      </c>
      <c r="H34" s="6"/>
    </row>
    <row r="35" spans="1:8" ht="15.5" x14ac:dyDescent="0.35">
      <c r="A35" s="4" t="s">
        <v>38</v>
      </c>
      <c r="B35" s="5">
        <v>85.2</v>
      </c>
      <c r="C35" s="5">
        <v>95.08</v>
      </c>
      <c r="D35" s="5">
        <v>78.459999999999994</v>
      </c>
      <c r="E35" s="5">
        <v>93.04</v>
      </c>
      <c r="F35" s="5">
        <v>95.9</v>
      </c>
      <c r="H35" s="6"/>
    </row>
    <row r="36" spans="1:8" ht="15.5" x14ac:dyDescent="0.35">
      <c r="A36" s="4" t="s">
        <v>39</v>
      </c>
      <c r="B36" s="5">
        <v>100</v>
      </c>
      <c r="C36" s="5">
        <v>87.49</v>
      </c>
      <c r="D36" s="5">
        <v>80.66</v>
      </c>
      <c r="E36" s="5">
        <v>85.75</v>
      </c>
      <c r="F36" s="5">
        <v>93.66</v>
      </c>
      <c r="H36" s="6"/>
    </row>
    <row r="37" spans="1:8" ht="15.5" x14ac:dyDescent="0.35">
      <c r="A37" s="4" t="s">
        <v>40</v>
      </c>
      <c r="B37" s="5">
        <v>100</v>
      </c>
      <c r="C37" s="5">
        <v>98.18</v>
      </c>
      <c r="D37" s="5">
        <v>95.54</v>
      </c>
      <c r="E37" s="5">
        <v>89.97</v>
      </c>
      <c r="F37" s="5">
        <v>94.74</v>
      </c>
      <c r="H37" s="6"/>
    </row>
    <row r="38" spans="1:8" ht="15.5" x14ac:dyDescent="0.35">
      <c r="A38" s="4" t="s">
        <v>41</v>
      </c>
      <c r="B38" s="5">
        <v>82.14</v>
      </c>
      <c r="C38" s="5">
        <v>96.36</v>
      </c>
      <c r="D38" s="5">
        <v>90.46</v>
      </c>
      <c r="E38" s="5">
        <v>85.71</v>
      </c>
      <c r="F38" s="5">
        <v>73.92</v>
      </c>
      <c r="H38" s="6"/>
    </row>
    <row r="39" spans="1:8" ht="15.5" x14ac:dyDescent="0.35">
      <c r="A39" s="4" t="s">
        <v>42</v>
      </c>
      <c r="B39" s="5">
        <v>84.77</v>
      </c>
      <c r="C39" s="5">
        <v>91.35</v>
      </c>
      <c r="D39" s="5">
        <v>100</v>
      </c>
      <c r="E39" s="5">
        <v>100</v>
      </c>
      <c r="F39" s="5">
        <v>100</v>
      </c>
      <c r="H39" s="6"/>
    </row>
    <row r="40" spans="1:8" ht="15.5" x14ac:dyDescent="0.35">
      <c r="A40" s="4" t="s">
        <v>43</v>
      </c>
      <c r="B40" s="5">
        <v>72.92</v>
      </c>
      <c r="C40" s="5">
        <v>58.75</v>
      </c>
      <c r="D40" s="5">
        <v>46.85</v>
      </c>
      <c r="E40" s="5">
        <v>61.2</v>
      </c>
      <c r="F40" s="5">
        <v>69.94</v>
      </c>
      <c r="H40" s="6"/>
    </row>
    <row r="41" spans="1:8" ht="15.5" x14ac:dyDescent="0.35">
      <c r="A41" s="4" t="s">
        <v>44</v>
      </c>
      <c r="B41" s="5">
        <v>95.6</v>
      </c>
      <c r="C41" s="5">
        <v>56.01</v>
      </c>
      <c r="D41" s="5">
        <v>90.82</v>
      </c>
      <c r="E41" s="5">
        <v>94.61</v>
      </c>
      <c r="F41" s="5">
        <v>94.29</v>
      </c>
      <c r="H41" s="6"/>
    </row>
    <row r="42" spans="1:8" ht="15.5" x14ac:dyDescent="0.35">
      <c r="A42" s="4" t="s">
        <v>45</v>
      </c>
      <c r="B42" s="5">
        <v>95.15</v>
      </c>
      <c r="C42" s="5">
        <v>94.32</v>
      </c>
      <c r="D42" s="5">
        <v>92.84</v>
      </c>
      <c r="E42" s="5">
        <v>94.31</v>
      </c>
      <c r="F42" s="5">
        <v>94.74</v>
      </c>
      <c r="H42" s="6"/>
    </row>
    <row r="46" spans="1:8" ht="15.5" x14ac:dyDescent="0.35">
      <c r="F46" s="9">
        <v>40660604.999998726</v>
      </c>
    </row>
    <row r="47" spans="1:8" ht="15.5" x14ac:dyDescent="0.35">
      <c r="F47" s="9">
        <v>40485309.000001431</v>
      </c>
    </row>
    <row r="48" spans="1:8" ht="15.5" x14ac:dyDescent="0.35">
      <c r="F48" s="9">
        <v>40300474.000001721</v>
      </c>
    </row>
    <row r="49" spans="6:6" ht="15.5" x14ac:dyDescent="0.35">
      <c r="F49" s="9">
        <v>40106454.946722746</v>
      </c>
    </row>
    <row r="50" spans="6:6" ht="15.5" x14ac:dyDescent="0.35">
      <c r="F50" s="9">
        <v>39839393.838448524</v>
      </c>
    </row>
  </sheetData>
  <mergeCells count="1">
    <mergeCell ref="A1:F2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0"/>
  <sheetViews>
    <sheetView topLeftCell="B1" zoomScale="53" workbookViewId="0">
      <selection activeCell="L20" sqref="L20"/>
    </sheetView>
  </sheetViews>
  <sheetFormatPr defaultColWidth="11.25" defaultRowHeight="15" customHeight="1" x14ac:dyDescent="0.35"/>
  <cols>
    <col min="1" max="1" width="46.25" customWidth="1"/>
    <col min="2" max="6" width="10.08203125" customWidth="1"/>
    <col min="7" max="26" width="8.5" customWidth="1"/>
  </cols>
  <sheetData>
    <row r="1" spans="1:12" ht="15" customHeight="1" x14ac:dyDescent="0.35">
      <c r="A1" s="44" t="s">
        <v>124</v>
      </c>
      <c r="B1" s="45"/>
      <c r="C1" s="45"/>
      <c r="D1" s="45"/>
      <c r="E1" s="45"/>
      <c r="F1" s="46"/>
      <c r="H1" s="6"/>
    </row>
    <row r="2" spans="1:12" ht="15.5" x14ac:dyDescent="0.35">
      <c r="A2" s="47"/>
      <c r="B2" s="48"/>
      <c r="C2" s="48"/>
      <c r="D2" s="48"/>
      <c r="E2" s="48"/>
      <c r="F2" s="49"/>
      <c r="H2" s="6"/>
    </row>
    <row r="3" spans="1:12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6"/>
    </row>
    <row r="4" spans="1:12" ht="15" customHeight="1" x14ac:dyDescent="0.35">
      <c r="A4" s="4" t="s">
        <v>7</v>
      </c>
      <c r="B4" s="5">
        <v>90.14</v>
      </c>
      <c r="C4" s="5">
        <v>98.36</v>
      </c>
      <c r="D4" s="5">
        <v>90.44</v>
      </c>
      <c r="E4" s="5">
        <v>95.25</v>
      </c>
      <c r="F4" s="5">
        <v>97.6</v>
      </c>
      <c r="H4" s="6"/>
    </row>
    <row r="5" spans="1:12" ht="15.5" x14ac:dyDescent="0.35">
      <c r="A5" s="4" t="s">
        <v>8</v>
      </c>
      <c r="B5" s="5">
        <v>97.44</v>
      </c>
      <c r="C5" s="5">
        <v>85.59</v>
      </c>
      <c r="D5" s="5">
        <v>77.91</v>
      </c>
      <c r="E5" s="5">
        <v>95.42</v>
      </c>
      <c r="F5" s="5">
        <v>97.46</v>
      </c>
      <c r="H5" s="6"/>
    </row>
    <row r="6" spans="1:12" ht="15.5" x14ac:dyDescent="0.35">
      <c r="A6" s="4" t="s">
        <v>9</v>
      </c>
      <c r="B6" s="5">
        <v>97.12</v>
      </c>
      <c r="C6" s="5">
        <v>93.24</v>
      </c>
      <c r="D6" s="5">
        <v>95.94</v>
      </c>
      <c r="E6" s="5">
        <v>93.05</v>
      </c>
      <c r="F6" s="5">
        <v>99.12</v>
      </c>
      <c r="H6" s="32" t="s">
        <v>2</v>
      </c>
      <c r="I6" s="32" t="s">
        <v>3</v>
      </c>
      <c r="J6" s="32" t="s">
        <v>4</v>
      </c>
      <c r="K6" s="32" t="s">
        <v>5</v>
      </c>
      <c r="L6" s="32" t="s">
        <v>6</v>
      </c>
    </row>
    <row r="7" spans="1:12" ht="15.5" x14ac:dyDescent="0.35">
      <c r="A7" s="4" t="s">
        <v>10</v>
      </c>
      <c r="B7" s="5">
        <v>93.87</v>
      </c>
      <c r="C7" s="5">
        <v>97.47</v>
      </c>
      <c r="D7" s="5">
        <v>97.04</v>
      </c>
      <c r="E7" s="5">
        <v>100</v>
      </c>
      <c r="F7" s="5">
        <v>94.16</v>
      </c>
      <c r="H7" s="31">
        <v>93.87</v>
      </c>
      <c r="I7" s="31">
        <v>97.47</v>
      </c>
      <c r="J7" s="31">
        <v>97.04</v>
      </c>
      <c r="K7" s="31">
        <v>100</v>
      </c>
      <c r="L7" s="31">
        <v>94.16</v>
      </c>
    </row>
    <row r="8" spans="1:12" ht="15.5" x14ac:dyDescent="0.35">
      <c r="A8" s="4" t="s">
        <v>11</v>
      </c>
      <c r="B8" s="5">
        <v>93.53</v>
      </c>
      <c r="C8" s="5">
        <v>93.18</v>
      </c>
      <c r="D8" s="5">
        <v>98.38</v>
      </c>
      <c r="E8" s="5">
        <v>100</v>
      </c>
      <c r="F8" s="5">
        <v>100</v>
      </c>
      <c r="H8" s="6"/>
    </row>
    <row r="9" spans="1:12" ht="15.5" x14ac:dyDescent="0.35">
      <c r="A9" s="4" t="s">
        <v>12</v>
      </c>
      <c r="B9" s="5">
        <v>97.88</v>
      </c>
      <c r="C9" s="5">
        <v>98.07</v>
      </c>
      <c r="D9" s="5">
        <v>100</v>
      </c>
      <c r="E9" s="5">
        <v>100</v>
      </c>
      <c r="F9" s="5">
        <v>100</v>
      </c>
      <c r="H9" s="6"/>
    </row>
    <row r="10" spans="1:12" ht="15.5" x14ac:dyDescent="0.35">
      <c r="A10" s="4" t="s">
        <v>13</v>
      </c>
      <c r="B10" s="5">
        <v>96.67</v>
      </c>
      <c r="C10" s="5">
        <v>91.03</v>
      </c>
      <c r="D10" s="5">
        <v>91.02</v>
      </c>
      <c r="E10" s="5">
        <v>94.51</v>
      </c>
      <c r="F10" s="5">
        <v>98.2</v>
      </c>
      <c r="H10" s="6"/>
    </row>
    <row r="11" spans="1:12" ht="15.5" x14ac:dyDescent="0.35">
      <c r="A11" s="4" t="s">
        <v>14</v>
      </c>
      <c r="B11" s="5">
        <v>94.98</v>
      </c>
      <c r="C11" s="5">
        <v>100</v>
      </c>
      <c r="D11" s="5">
        <v>88.39</v>
      </c>
      <c r="E11" s="5">
        <v>94.41</v>
      </c>
      <c r="F11" s="5">
        <v>96.21</v>
      </c>
      <c r="H11" s="6"/>
    </row>
    <row r="12" spans="1:12" ht="15.5" x14ac:dyDescent="0.35">
      <c r="A12" s="4" t="s">
        <v>15</v>
      </c>
      <c r="B12" s="5">
        <v>78.349999999999994</v>
      </c>
      <c r="C12" s="5">
        <v>89.49</v>
      </c>
      <c r="D12" s="5">
        <v>77.48</v>
      </c>
      <c r="E12" s="5">
        <v>92.47</v>
      </c>
      <c r="F12" s="5">
        <v>93.06</v>
      </c>
      <c r="H12" s="6"/>
    </row>
    <row r="13" spans="1:12" ht="15.5" x14ac:dyDescent="0.35">
      <c r="A13" s="4" t="s">
        <v>16</v>
      </c>
      <c r="B13" s="5">
        <v>89.99</v>
      </c>
      <c r="C13" s="5">
        <v>90.6</v>
      </c>
      <c r="D13" s="5">
        <v>86.41</v>
      </c>
      <c r="E13" s="5">
        <v>88.07</v>
      </c>
      <c r="F13" s="5">
        <v>100</v>
      </c>
      <c r="H13" s="6"/>
    </row>
    <row r="14" spans="1:12" ht="15.5" x14ac:dyDescent="0.35">
      <c r="A14" s="4" t="s">
        <v>17</v>
      </c>
      <c r="B14" s="5">
        <v>65.78</v>
      </c>
      <c r="C14" s="5">
        <v>84.34</v>
      </c>
      <c r="D14" s="5">
        <v>74.87</v>
      </c>
      <c r="E14" s="5">
        <v>81.900000000000006</v>
      </c>
      <c r="F14" s="5">
        <v>89.17</v>
      </c>
      <c r="H14" s="6"/>
    </row>
    <row r="15" spans="1:12" ht="15.5" x14ac:dyDescent="0.35">
      <c r="A15" s="4" t="s">
        <v>18</v>
      </c>
      <c r="B15" s="5">
        <v>81.73</v>
      </c>
      <c r="C15" s="5">
        <v>84.6</v>
      </c>
      <c r="D15" s="5">
        <v>82.72</v>
      </c>
      <c r="E15" s="5">
        <v>85.8</v>
      </c>
      <c r="F15" s="5">
        <v>91.28</v>
      </c>
      <c r="H15" s="6"/>
    </row>
    <row r="16" spans="1:12" ht="15.5" x14ac:dyDescent="0.35">
      <c r="A16" s="4" t="s">
        <v>19</v>
      </c>
      <c r="B16" s="5">
        <v>82.87</v>
      </c>
      <c r="C16" s="5">
        <v>86.35</v>
      </c>
      <c r="D16" s="5">
        <v>86.48</v>
      </c>
      <c r="E16" s="5">
        <v>86.87</v>
      </c>
      <c r="F16" s="5">
        <v>95.12</v>
      </c>
      <c r="H16" s="6"/>
    </row>
    <row r="17" spans="1:8" ht="15.5" x14ac:dyDescent="0.35">
      <c r="A17" s="4" t="s">
        <v>20</v>
      </c>
      <c r="B17" s="5">
        <v>98.9</v>
      </c>
      <c r="C17" s="5">
        <v>94.05</v>
      </c>
      <c r="D17" s="5">
        <v>92.3</v>
      </c>
      <c r="E17" s="5">
        <v>97.68</v>
      </c>
      <c r="F17" s="5">
        <v>98.55</v>
      </c>
      <c r="H17" s="6"/>
    </row>
    <row r="18" spans="1:8" ht="15.5" x14ac:dyDescent="0.35">
      <c r="A18" s="4" t="s">
        <v>21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H18" s="6"/>
    </row>
    <row r="19" spans="1:8" ht="15.5" x14ac:dyDescent="0.35">
      <c r="A19" s="4" t="s">
        <v>22</v>
      </c>
      <c r="B19" s="5">
        <v>90.22</v>
      </c>
      <c r="C19" s="5">
        <v>98.52</v>
      </c>
      <c r="D19" s="5">
        <v>95.89</v>
      </c>
      <c r="E19" s="5">
        <v>98.15</v>
      </c>
      <c r="F19" s="5">
        <v>100</v>
      </c>
      <c r="H19" s="6"/>
    </row>
    <row r="20" spans="1:8" ht="15.5" x14ac:dyDescent="0.35">
      <c r="A20" s="4" t="s">
        <v>23</v>
      </c>
      <c r="B20" s="5">
        <v>97.82</v>
      </c>
      <c r="C20" s="5">
        <v>95.32</v>
      </c>
      <c r="D20" s="5">
        <v>93.04</v>
      </c>
      <c r="E20" s="5">
        <v>98.28</v>
      </c>
      <c r="F20" s="5">
        <v>98.97</v>
      </c>
      <c r="H20" s="6"/>
    </row>
    <row r="21" spans="1:8" ht="15.5" x14ac:dyDescent="0.35">
      <c r="A21" s="4" t="s">
        <v>24</v>
      </c>
      <c r="B21" s="5">
        <v>100</v>
      </c>
      <c r="C21" s="5">
        <v>98.18</v>
      </c>
      <c r="D21" s="5">
        <v>100</v>
      </c>
      <c r="E21" s="5">
        <v>100</v>
      </c>
      <c r="F21" s="5">
        <v>100</v>
      </c>
      <c r="H21" s="6"/>
    </row>
    <row r="22" spans="1:8" ht="15.5" x14ac:dyDescent="0.35">
      <c r="A22" s="4" t="s">
        <v>25</v>
      </c>
      <c r="B22" s="5">
        <v>98.19</v>
      </c>
      <c r="C22" s="5">
        <v>94.98</v>
      </c>
      <c r="D22" s="5">
        <v>96.17</v>
      </c>
      <c r="E22" s="5">
        <v>95.71</v>
      </c>
      <c r="F22" s="5">
        <v>97.25</v>
      </c>
      <c r="H22" s="6"/>
    </row>
    <row r="23" spans="1:8" ht="15.5" x14ac:dyDescent="0.35">
      <c r="A23" s="4" t="s">
        <v>26</v>
      </c>
      <c r="B23" s="5">
        <v>100</v>
      </c>
      <c r="C23" s="5">
        <v>97.69</v>
      </c>
      <c r="D23" s="5">
        <v>100</v>
      </c>
      <c r="E23" s="5">
        <v>98.52</v>
      </c>
      <c r="F23" s="5">
        <v>100</v>
      </c>
      <c r="H23" s="6"/>
    </row>
    <row r="24" spans="1:8" ht="15.5" x14ac:dyDescent="0.35">
      <c r="A24" s="4" t="s">
        <v>27</v>
      </c>
      <c r="B24" s="5">
        <v>98.11</v>
      </c>
      <c r="C24" s="5">
        <v>98.12</v>
      </c>
      <c r="D24" s="5">
        <v>91.66</v>
      </c>
      <c r="E24" s="5">
        <v>94.68</v>
      </c>
      <c r="F24" s="5">
        <v>99.31</v>
      </c>
      <c r="H24" s="6"/>
    </row>
    <row r="25" spans="1:8" ht="15.5" x14ac:dyDescent="0.35">
      <c r="A25" s="4" t="s">
        <v>28</v>
      </c>
      <c r="B25" s="5">
        <v>89.65</v>
      </c>
      <c r="C25" s="5">
        <v>95.73</v>
      </c>
      <c r="D25" s="5">
        <v>97.63</v>
      </c>
      <c r="E25" s="5">
        <v>96.7</v>
      </c>
      <c r="F25" s="5">
        <v>100</v>
      </c>
      <c r="H25" s="6"/>
    </row>
    <row r="26" spans="1:8" ht="15.5" x14ac:dyDescent="0.35">
      <c r="A26" s="4" t="s">
        <v>29</v>
      </c>
      <c r="B26" s="5">
        <v>90.02</v>
      </c>
      <c r="C26" s="5">
        <v>95.58</v>
      </c>
      <c r="D26" s="5">
        <v>98.61</v>
      </c>
      <c r="E26" s="5">
        <v>95.81</v>
      </c>
      <c r="F26" s="5">
        <v>100</v>
      </c>
      <c r="H26" s="6"/>
    </row>
    <row r="27" spans="1:8" ht="15.5" x14ac:dyDescent="0.35">
      <c r="A27" s="4" t="s">
        <v>30</v>
      </c>
      <c r="B27" s="5">
        <v>88.84</v>
      </c>
      <c r="C27" s="5">
        <v>91.64</v>
      </c>
      <c r="D27" s="5">
        <v>100</v>
      </c>
      <c r="E27" s="5">
        <v>98.11</v>
      </c>
      <c r="F27" s="5">
        <v>99.33</v>
      </c>
      <c r="H27" s="6"/>
    </row>
    <row r="28" spans="1:8" ht="15.5" x14ac:dyDescent="0.35">
      <c r="A28" s="4" t="s">
        <v>31</v>
      </c>
      <c r="B28" s="5">
        <v>98.54</v>
      </c>
      <c r="C28" s="5">
        <v>97.63</v>
      </c>
      <c r="D28" s="5">
        <v>98.01</v>
      </c>
      <c r="E28" s="5">
        <v>100</v>
      </c>
      <c r="F28" s="5">
        <v>100</v>
      </c>
      <c r="H28" s="6"/>
    </row>
    <row r="29" spans="1:8" ht="15.5" x14ac:dyDescent="0.35">
      <c r="A29" s="4" t="s">
        <v>32</v>
      </c>
      <c r="B29" s="5">
        <v>75.040000000000006</v>
      </c>
      <c r="C29" s="5">
        <v>73.930000000000007</v>
      </c>
      <c r="D29" s="5">
        <v>88.74</v>
      </c>
      <c r="E29" s="5">
        <v>83.47</v>
      </c>
      <c r="F29" s="5">
        <v>79.349999999999994</v>
      </c>
      <c r="H29" s="6"/>
    </row>
    <row r="30" spans="1:8" ht="15.5" x14ac:dyDescent="0.35">
      <c r="A30" s="4" t="s">
        <v>33</v>
      </c>
      <c r="B30" s="5">
        <v>77.180000000000007</v>
      </c>
      <c r="C30" s="5">
        <v>88.7</v>
      </c>
      <c r="D30" s="5">
        <v>89.71</v>
      </c>
      <c r="E30" s="5">
        <v>92.2</v>
      </c>
      <c r="F30" s="5">
        <v>95.32</v>
      </c>
      <c r="H30" s="6"/>
    </row>
    <row r="31" spans="1:8" ht="15.5" x14ac:dyDescent="0.35">
      <c r="A31" s="4" t="s">
        <v>34</v>
      </c>
      <c r="B31" s="5">
        <v>72.56</v>
      </c>
      <c r="C31" s="5">
        <v>72.92</v>
      </c>
      <c r="D31" s="5">
        <v>77.930000000000007</v>
      </c>
      <c r="E31" s="5">
        <v>76.03</v>
      </c>
      <c r="F31" s="5">
        <v>90.41</v>
      </c>
      <c r="H31" s="6"/>
    </row>
    <row r="32" spans="1:8" ht="15.5" x14ac:dyDescent="0.35">
      <c r="A32" s="4" t="s">
        <v>35</v>
      </c>
      <c r="B32" s="5">
        <v>97.02</v>
      </c>
      <c r="C32" s="5">
        <v>93.36</v>
      </c>
      <c r="D32" s="5">
        <v>96.07</v>
      </c>
      <c r="E32" s="5">
        <v>96.79</v>
      </c>
      <c r="F32" s="5">
        <v>98.31</v>
      </c>
      <c r="H32" s="6"/>
    </row>
    <row r="33" spans="1:8" ht="15.5" x14ac:dyDescent="0.35">
      <c r="A33" s="4" t="s">
        <v>36</v>
      </c>
      <c r="B33" s="5">
        <v>100</v>
      </c>
      <c r="C33" s="5">
        <v>100</v>
      </c>
      <c r="D33" s="5">
        <v>100</v>
      </c>
      <c r="E33" s="5">
        <v>100</v>
      </c>
      <c r="F33" s="5">
        <v>100</v>
      </c>
      <c r="H33" s="6"/>
    </row>
    <row r="34" spans="1:8" ht="15.5" x14ac:dyDescent="0.35">
      <c r="A34" s="4" t="s">
        <v>37</v>
      </c>
      <c r="B34" s="5">
        <v>100</v>
      </c>
      <c r="C34" s="5">
        <v>97.18</v>
      </c>
      <c r="D34" s="5">
        <v>100</v>
      </c>
      <c r="E34" s="5">
        <v>100</v>
      </c>
      <c r="F34" s="5">
        <v>100</v>
      </c>
      <c r="H34" s="6"/>
    </row>
    <row r="35" spans="1:8" ht="15.5" x14ac:dyDescent="0.35">
      <c r="A35" s="4" t="s">
        <v>38</v>
      </c>
      <c r="B35" s="5">
        <v>100</v>
      </c>
      <c r="C35" s="5">
        <v>95.75</v>
      </c>
      <c r="D35" s="5">
        <v>100</v>
      </c>
      <c r="E35" s="5">
        <v>100</v>
      </c>
      <c r="F35" s="5">
        <v>100</v>
      </c>
      <c r="H35" s="6"/>
    </row>
    <row r="36" spans="1:8" ht="15.5" x14ac:dyDescent="0.35">
      <c r="A36" s="4" t="s">
        <v>39</v>
      </c>
      <c r="B36" s="5">
        <v>96.42</v>
      </c>
      <c r="C36" s="5">
        <v>97.15</v>
      </c>
      <c r="D36" s="5">
        <v>100</v>
      </c>
      <c r="E36" s="5">
        <v>100</v>
      </c>
      <c r="F36" s="5">
        <v>100</v>
      </c>
      <c r="H36" s="6"/>
    </row>
    <row r="37" spans="1:8" ht="15.5" x14ac:dyDescent="0.35">
      <c r="A37" s="4" t="s">
        <v>40</v>
      </c>
      <c r="B37" s="5">
        <v>100</v>
      </c>
      <c r="C37" s="5">
        <v>100</v>
      </c>
      <c r="D37" s="5">
        <v>100</v>
      </c>
      <c r="E37" s="5">
        <v>100</v>
      </c>
      <c r="F37" s="5">
        <v>100</v>
      </c>
      <c r="H37" s="6"/>
    </row>
    <row r="38" spans="1:8" ht="15.5" x14ac:dyDescent="0.35">
      <c r="A38" s="4" t="s">
        <v>41</v>
      </c>
      <c r="B38" s="5">
        <v>100</v>
      </c>
      <c r="C38" s="5">
        <v>91.21</v>
      </c>
      <c r="D38" s="5">
        <v>93.71</v>
      </c>
      <c r="E38" s="5">
        <v>100</v>
      </c>
      <c r="F38" s="5">
        <v>96.5</v>
      </c>
      <c r="H38" s="6"/>
    </row>
    <row r="39" spans="1:8" ht="15.5" x14ac:dyDescent="0.35">
      <c r="A39" s="4" t="s">
        <v>42</v>
      </c>
      <c r="B39" s="5">
        <v>100</v>
      </c>
      <c r="C39" s="5">
        <v>100</v>
      </c>
      <c r="D39" s="5">
        <v>100</v>
      </c>
      <c r="E39" s="5">
        <v>100</v>
      </c>
      <c r="F39" s="5">
        <v>100</v>
      </c>
      <c r="H39" s="6"/>
    </row>
    <row r="40" spans="1:8" ht="15.5" x14ac:dyDescent="0.35">
      <c r="A40" s="4" t="s">
        <v>43</v>
      </c>
      <c r="B40" s="5">
        <v>100</v>
      </c>
      <c r="C40" s="5">
        <v>100</v>
      </c>
      <c r="D40" s="5">
        <v>98.43</v>
      </c>
      <c r="E40" s="5">
        <v>99.71</v>
      </c>
      <c r="F40" s="5">
        <v>100</v>
      </c>
      <c r="H40" s="6"/>
    </row>
    <row r="41" spans="1:8" ht="15.5" x14ac:dyDescent="0.35">
      <c r="A41" s="4" t="s">
        <v>44</v>
      </c>
      <c r="B41" s="5">
        <v>96.7</v>
      </c>
      <c r="C41" s="5">
        <v>100</v>
      </c>
      <c r="D41" s="5">
        <v>100</v>
      </c>
      <c r="E41" s="5">
        <v>100</v>
      </c>
      <c r="F41" s="5">
        <v>100</v>
      </c>
      <c r="H41" s="6"/>
    </row>
    <row r="42" spans="1:8" ht="15" hidden="1" customHeight="1" x14ac:dyDescent="0.35">
      <c r="A42" s="4" t="s">
        <v>45</v>
      </c>
      <c r="B42" s="5">
        <v>97.28</v>
      </c>
      <c r="C42" s="5">
        <v>97.34</v>
      </c>
      <c r="D42" s="5">
        <v>97.8</v>
      </c>
      <c r="E42" s="5">
        <v>98.12</v>
      </c>
      <c r="F42" s="5">
        <v>98.7</v>
      </c>
      <c r="H42" s="6"/>
    </row>
    <row r="46" spans="1:8" ht="15.5" x14ac:dyDescent="0.35">
      <c r="F46" s="9">
        <v>40660604.999998726</v>
      </c>
    </row>
    <row r="47" spans="1:8" ht="15.5" x14ac:dyDescent="0.35">
      <c r="F47" s="9">
        <v>40485309.000001431</v>
      </c>
    </row>
    <row r="48" spans="1:8" ht="15.5" x14ac:dyDescent="0.35">
      <c r="F48" s="9">
        <v>40300474.000001721</v>
      </c>
    </row>
    <row r="49" spans="6:6" ht="15.5" x14ac:dyDescent="0.35">
      <c r="F49" s="9">
        <v>40106454.946722746</v>
      </c>
    </row>
    <row r="50" spans="6:6" ht="15.5" x14ac:dyDescent="0.35">
      <c r="F50" s="9">
        <v>39839393.838448524</v>
      </c>
    </row>
  </sheetData>
  <mergeCells count="1">
    <mergeCell ref="A1:F2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0"/>
  <sheetViews>
    <sheetView topLeftCell="D1" zoomScale="61" workbookViewId="0">
      <selection activeCell="M9" sqref="M9"/>
    </sheetView>
  </sheetViews>
  <sheetFormatPr defaultColWidth="11.25" defaultRowHeight="15" customHeight="1" x14ac:dyDescent="0.35"/>
  <cols>
    <col min="1" max="1" width="46.25" customWidth="1"/>
    <col min="2" max="6" width="10.08203125" customWidth="1"/>
    <col min="7" max="26" width="8.5" customWidth="1"/>
  </cols>
  <sheetData>
    <row r="1" spans="1:13" ht="15" customHeight="1" x14ac:dyDescent="0.35">
      <c r="A1" s="38" t="s">
        <v>125</v>
      </c>
      <c r="B1" s="39"/>
      <c r="C1" s="39"/>
      <c r="D1" s="39"/>
      <c r="E1" s="39"/>
      <c r="F1" s="40"/>
      <c r="H1" s="6"/>
    </row>
    <row r="2" spans="1:13" ht="15.5" x14ac:dyDescent="0.35">
      <c r="A2" s="1"/>
      <c r="B2" s="1"/>
      <c r="C2" s="1"/>
      <c r="D2" s="1"/>
      <c r="E2" s="1"/>
      <c r="F2" s="1"/>
      <c r="H2" s="6"/>
    </row>
    <row r="3" spans="1:13" ht="15.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6"/>
    </row>
    <row r="4" spans="1:13" ht="15" customHeight="1" x14ac:dyDescent="0.35">
      <c r="A4" s="4" t="s">
        <v>7</v>
      </c>
      <c r="B4" s="5">
        <v>87.46</v>
      </c>
      <c r="C4" s="5">
        <v>89.85</v>
      </c>
      <c r="D4" s="5">
        <v>81.41</v>
      </c>
      <c r="E4" s="5">
        <v>94.92</v>
      </c>
      <c r="F4" s="5">
        <v>94.82</v>
      </c>
      <c r="H4" s="6"/>
    </row>
    <row r="5" spans="1:13" ht="15.5" x14ac:dyDescent="0.35">
      <c r="A5" s="4" t="s">
        <v>8</v>
      </c>
      <c r="B5" s="5">
        <v>89.81</v>
      </c>
      <c r="C5" s="5">
        <v>70.5</v>
      </c>
      <c r="D5" s="5">
        <v>81</v>
      </c>
      <c r="E5" s="5">
        <v>83.72</v>
      </c>
      <c r="F5" s="5">
        <v>80.58</v>
      </c>
      <c r="H5" s="6"/>
    </row>
    <row r="6" spans="1:13" ht="15.5" x14ac:dyDescent="0.35">
      <c r="A6" s="4" t="s">
        <v>9</v>
      </c>
      <c r="B6" s="5">
        <v>89.42</v>
      </c>
      <c r="C6" s="5">
        <v>84.04</v>
      </c>
      <c r="D6" s="5">
        <v>84.56</v>
      </c>
      <c r="E6" s="5">
        <v>89.41</v>
      </c>
      <c r="F6" s="5">
        <v>94.67</v>
      </c>
      <c r="H6" s="32" t="s">
        <v>2</v>
      </c>
      <c r="I6" s="32" t="s">
        <v>3</v>
      </c>
      <c r="J6" s="32" t="s">
        <v>4</v>
      </c>
      <c r="K6" s="32" t="s">
        <v>5</v>
      </c>
      <c r="L6" s="32" t="s">
        <v>6</v>
      </c>
    </row>
    <row r="7" spans="1:13" ht="15.5" x14ac:dyDescent="0.35">
      <c r="A7" s="4" t="s">
        <v>10</v>
      </c>
      <c r="B7" s="5">
        <v>92.53</v>
      </c>
      <c r="C7" s="5">
        <v>87.8</v>
      </c>
      <c r="D7" s="5">
        <v>95.42</v>
      </c>
      <c r="E7" s="5">
        <v>95.54</v>
      </c>
      <c r="F7" s="5">
        <v>89.48</v>
      </c>
      <c r="H7" s="31">
        <v>92.53</v>
      </c>
      <c r="I7" s="31">
        <v>87.8</v>
      </c>
      <c r="J7" s="31">
        <v>95.42</v>
      </c>
      <c r="K7" s="31">
        <v>95.54</v>
      </c>
      <c r="L7" s="31">
        <v>89.48</v>
      </c>
      <c r="M7" s="36">
        <f>L7-H7</f>
        <v>-3.0499999999999972</v>
      </c>
    </row>
    <row r="8" spans="1:13" ht="15.5" x14ac:dyDescent="0.35">
      <c r="A8" s="4" t="s">
        <v>11</v>
      </c>
      <c r="B8" s="5">
        <v>88.67</v>
      </c>
      <c r="C8" s="5">
        <v>96.05</v>
      </c>
      <c r="D8" s="5">
        <v>92.74</v>
      </c>
      <c r="E8" s="5">
        <v>99.19</v>
      </c>
      <c r="F8" s="5">
        <v>94.76</v>
      </c>
      <c r="H8" s="6"/>
    </row>
    <row r="9" spans="1:13" ht="15.5" x14ac:dyDescent="0.35">
      <c r="A9" s="4" t="s">
        <v>12</v>
      </c>
      <c r="B9" s="5">
        <v>94.09</v>
      </c>
      <c r="C9" s="5">
        <v>92.57</v>
      </c>
      <c r="D9" s="5">
        <v>97.83</v>
      </c>
      <c r="E9" s="5">
        <v>97.03</v>
      </c>
      <c r="F9" s="5">
        <v>96.41</v>
      </c>
      <c r="H9" s="6"/>
    </row>
    <row r="10" spans="1:13" ht="15.5" x14ac:dyDescent="0.35">
      <c r="A10" s="4" t="s">
        <v>13</v>
      </c>
      <c r="B10" s="5">
        <v>92.31</v>
      </c>
      <c r="C10" s="5">
        <v>96.83</v>
      </c>
      <c r="D10" s="5">
        <v>99.24</v>
      </c>
      <c r="E10" s="5">
        <v>100</v>
      </c>
      <c r="F10" s="5">
        <v>95.5</v>
      </c>
      <c r="H10" s="6"/>
    </row>
    <row r="11" spans="1:13" ht="15.5" x14ac:dyDescent="0.35">
      <c r="A11" s="4" t="s">
        <v>14</v>
      </c>
      <c r="B11" s="5">
        <v>96.79</v>
      </c>
      <c r="C11" s="5">
        <v>100</v>
      </c>
      <c r="D11" s="5">
        <v>98.02</v>
      </c>
      <c r="E11" s="5">
        <v>98.29</v>
      </c>
      <c r="F11" s="5">
        <v>97.71</v>
      </c>
      <c r="H11" s="6"/>
    </row>
    <row r="12" spans="1:13" ht="15.5" x14ac:dyDescent="0.35">
      <c r="A12" s="4" t="s">
        <v>15</v>
      </c>
      <c r="B12" s="5">
        <v>80.38</v>
      </c>
      <c r="C12" s="5">
        <v>89.44</v>
      </c>
      <c r="D12" s="5">
        <v>83.85</v>
      </c>
      <c r="E12" s="5">
        <v>89.29</v>
      </c>
      <c r="F12" s="5">
        <v>95.64</v>
      </c>
      <c r="H12" s="6"/>
    </row>
    <row r="13" spans="1:13" ht="15.5" x14ac:dyDescent="0.35">
      <c r="A13" s="4" t="s">
        <v>16</v>
      </c>
      <c r="B13" s="5">
        <v>89.93</v>
      </c>
      <c r="C13" s="5">
        <v>87.29</v>
      </c>
      <c r="D13" s="5">
        <v>88.71</v>
      </c>
      <c r="E13" s="5">
        <v>95.99</v>
      </c>
      <c r="F13" s="5">
        <v>98.71</v>
      </c>
      <c r="H13" s="6"/>
    </row>
    <row r="14" spans="1:13" ht="15.5" x14ac:dyDescent="0.35">
      <c r="A14" s="4" t="s">
        <v>17</v>
      </c>
      <c r="B14" s="5">
        <v>69.709999999999994</v>
      </c>
      <c r="C14" s="5">
        <v>86.07</v>
      </c>
      <c r="D14" s="5">
        <v>79.17</v>
      </c>
      <c r="E14" s="5">
        <v>79.44</v>
      </c>
      <c r="F14" s="5">
        <v>82.33</v>
      </c>
      <c r="H14" s="6"/>
    </row>
    <row r="15" spans="1:13" ht="15.5" x14ac:dyDescent="0.35">
      <c r="A15" s="4" t="s">
        <v>18</v>
      </c>
      <c r="B15" s="5">
        <v>63.28</v>
      </c>
      <c r="C15" s="5">
        <v>60.83</v>
      </c>
      <c r="D15" s="5">
        <v>70.12</v>
      </c>
      <c r="E15" s="5">
        <v>70.63</v>
      </c>
      <c r="F15" s="5">
        <v>80.040000000000006</v>
      </c>
      <c r="H15" s="6"/>
    </row>
    <row r="16" spans="1:13" ht="15.5" x14ac:dyDescent="0.35">
      <c r="A16" s="4" t="s">
        <v>19</v>
      </c>
      <c r="B16" s="5">
        <v>80.72</v>
      </c>
      <c r="C16" s="5">
        <v>83.49</v>
      </c>
      <c r="D16" s="5">
        <v>76.45</v>
      </c>
      <c r="E16" s="5">
        <v>90.09</v>
      </c>
      <c r="F16" s="5">
        <v>87.85</v>
      </c>
      <c r="H16" s="6"/>
    </row>
    <row r="17" spans="1:8" ht="15.5" x14ac:dyDescent="0.35">
      <c r="A17" s="4" t="s">
        <v>20</v>
      </c>
      <c r="B17" s="5">
        <v>93.05</v>
      </c>
      <c r="C17" s="5">
        <v>87.62</v>
      </c>
      <c r="D17" s="5">
        <v>91.16</v>
      </c>
      <c r="E17" s="5">
        <v>92.5</v>
      </c>
      <c r="F17" s="5">
        <v>90.75</v>
      </c>
      <c r="H17" s="6"/>
    </row>
    <row r="18" spans="1:8" ht="15.5" x14ac:dyDescent="0.35">
      <c r="A18" s="4" t="s">
        <v>21</v>
      </c>
      <c r="B18" s="5">
        <v>97.86</v>
      </c>
      <c r="C18" s="5">
        <v>98.28</v>
      </c>
      <c r="D18" s="5">
        <v>100</v>
      </c>
      <c r="E18" s="5">
        <v>100</v>
      </c>
      <c r="F18" s="5">
        <v>99.34</v>
      </c>
      <c r="H18" s="6"/>
    </row>
    <row r="19" spans="1:8" ht="15.5" x14ac:dyDescent="0.35">
      <c r="A19" s="4" t="s">
        <v>22</v>
      </c>
      <c r="B19" s="5">
        <v>78.78</v>
      </c>
      <c r="C19" s="5">
        <v>90.47</v>
      </c>
      <c r="D19" s="5">
        <v>93.4</v>
      </c>
      <c r="E19" s="5">
        <v>95.21</v>
      </c>
      <c r="F19" s="5">
        <v>90.43</v>
      </c>
      <c r="H19" s="6"/>
    </row>
    <row r="20" spans="1:8" ht="15.5" x14ac:dyDescent="0.35">
      <c r="A20" s="4" t="s">
        <v>23</v>
      </c>
      <c r="B20" s="5">
        <v>80.8</v>
      </c>
      <c r="C20" s="5">
        <v>81.34</v>
      </c>
      <c r="D20" s="5">
        <v>72.42</v>
      </c>
      <c r="E20" s="5">
        <v>94.83</v>
      </c>
      <c r="F20" s="5">
        <v>90.23</v>
      </c>
      <c r="H20" s="6"/>
    </row>
    <row r="21" spans="1:8" ht="15.5" x14ac:dyDescent="0.35">
      <c r="A21" s="4" t="s">
        <v>24</v>
      </c>
      <c r="B21" s="5">
        <v>78.19</v>
      </c>
      <c r="C21" s="5">
        <v>72.47</v>
      </c>
      <c r="D21" s="5">
        <v>75.28</v>
      </c>
      <c r="E21" s="5">
        <v>83.49</v>
      </c>
      <c r="F21" s="5">
        <v>74.709999999999994</v>
      </c>
      <c r="H21" s="6"/>
    </row>
    <row r="22" spans="1:8" ht="15.5" x14ac:dyDescent="0.35">
      <c r="A22" s="4" t="s">
        <v>25</v>
      </c>
      <c r="B22" s="5">
        <v>70.150000000000006</v>
      </c>
      <c r="C22" s="5">
        <v>66.55</v>
      </c>
      <c r="D22" s="5">
        <v>70.88</v>
      </c>
      <c r="E22" s="5">
        <v>87.67</v>
      </c>
      <c r="F22" s="5">
        <v>79.47</v>
      </c>
      <c r="H22" s="6"/>
    </row>
    <row r="23" spans="1:8" ht="15.5" x14ac:dyDescent="0.35">
      <c r="A23" s="4" t="s">
        <v>26</v>
      </c>
      <c r="B23" s="5">
        <v>88.34</v>
      </c>
      <c r="C23" s="5">
        <v>83.38</v>
      </c>
      <c r="D23" s="5">
        <v>97.4</v>
      </c>
      <c r="E23" s="5">
        <v>98.52</v>
      </c>
      <c r="F23" s="5">
        <v>96.22</v>
      </c>
      <c r="H23" s="6"/>
    </row>
    <row r="24" spans="1:8" ht="15.5" x14ac:dyDescent="0.35">
      <c r="A24" s="4" t="s">
        <v>27</v>
      </c>
      <c r="B24" s="5">
        <v>53.06</v>
      </c>
      <c r="C24" s="5">
        <v>63.66</v>
      </c>
      <c r="D24" s="5">
        <v>63.73</v>
      </c>
      <c r="E24" s="5">
        <v>68.349999999999994</v>
      </c>
      <c r="F24" s="5">
        <v>65.53</v>
      </c>
      <c r="H24" s="6"/>
    </row>
    <row r="25" spans="1:8" ht="15.5" x14ac:dyDescent="0.35">
      <c r="A25" s="4" t="s">
        <v>28</v>
      </c>
      <c r="B25" s="5">
        <v>43.36</v>
      </c>
      <c r="C25" s="5">
        <v>46.04</v>
      </c>
      <c r="D25" s="5">
        <v>41.73</v>
      </c>
      <c r="E25" s="5">
        <v>40.83</v>
      </c>
      <c r="F25" s="5">
        <v>43.17</v>
      </c>
      <c r="H25" s="6"/>
    </row>
    <row r="26" spans="1:8" ht="15.5" x14ac:dyDescent="0.35">
      <c r="A26" s="4" t="s">
        <v>29</v>
      </c>
      <c r="B26" s="5">
        <v>65.709999999999994</v>
      </c>
      <c r="C26" s="5">
        <v>75.239999999999995</v>
      </c>
      <c r="D26" s="5">
        <v>76.53</v>
      </c>
      <c r="E26" s="5">
        <v>74.489999999999995</v>
      </c>
      <c r="F26" s="5">
        <v>74.16</v>
      </c>
      <c r="H26" s="6"/>
    </row>
    <row r="27" spans="1:8" ht="15.5" x14ac:dyDescent="0.35">
      <c r="A27" s="4" t="s">
        <v>30</v>
      </c>
      <c r="B27" s="5">
        <v>77.73</v>
      </c>
      <c r="C27" s="5">
        <v>80.819999999999993</v>
      </c>
      <c r="D27" s="5">
        <v>87.75</v>
      </c>
      <c r="E27" s="5">
        <v>87.12</v>
      </c>
      <c r="F27" s="5">
        <v>83.24</v>
      </c>
      <c r="H27" s="6"/>
    </row>
    <row r="28" spans="1:8" ht="15.5" x14ac:dyDescent="0.35">
      <c r="A28" s="4" t="s">
        <v>31</v>
      </c>
      <c r="B28" s="5">
        <v>94.81</v>
      </c>
      <c r="C28" s="5">
        <v>86.46</v>
      </c>
      <c r="D28" s="5">
        <v>94.94</v>
      </c>
      <c r="E28" s="5">
        <v>97.58</v>
      </c>
      <c r="F28" s="5">
        <v>98.64</v>
      </c>
      <c r="H28" s="6"/>
    </row>
    <row r="29" spans="1:8" ht="15.5" x14ac:dyDescent="0.35">
      <c r="A29" s="4" t="s">
        <v>32</v>
      </c>
      <c r="B29" s="5">
        <v>69.84</v>
      </c>
      <c r="C29" s="5">
        <v>70.83</v>
      </c>
      <c r="D29" s="5">
        <v>69.41</v>
      </c>
      <c r="E29" s="5">
        <v>69.069999999999993</v>
      </c>
      <c r="F29" s="5">
        <v>64.42</v>
      </c>
      <c r="H29" s="6"/>
    </row>
    <row r="30" spans="1:8" ht="15.5" x14ac:dyDescent="0.35">
      <c r="A30" s="4" t="s">
        <v>33</v>
      </c>
      <c r="B30" s="5">
        <v>62.94</v>
      </c>
      <c r="C30" s="5">
        <v>67.02</v>
      </c>
      <c r="D30" s="5">
        <v>67.739999999999995</v>
      </c>
      <c r="E30" s="5">
        <v>71.47</v>
      </c>
      <c r="F30" s="5">
        <v>69.010000000000005</v>
      </c>
      <c r="H30" s="6"/>
    </row>
    <row r="31" spans="1:8" ht="15.5" x14ac:dyDescent="0.35">
      <c r="A31" s="4" t="s">
        <v>34</v>
      </c>
      <c r="B31" s="5">
        <v>80.819999999999993</v>
      </c>
      <c r="C31" s="5">
        <v>77.14</v>
      </c>
      <c r="D31" s="5">
        <v>84.94</v>
      </c>
      <c r="E31" s="5">
        <v>78.91</v>
      </c>
      <c r="F31" s="5">
        <v>90.85</v>
      </c>
      <c r="H31" s="6"/>
    </row>
    <row r="32" spans="1:8" ht="15.5" x14ac:dyDescent="0.35">
      <c r="A32" s="4" t="s">
        <v>35</v>
      </c>
      <c r="B32" s="5">
        <v>97.63</v>
      </c>
      <c r="C32" s="5">
        <v>89.55</v>
      </c>
      <c r="D32" s="5">
        <v>90.26</v>
      </c>
      <c r="E32" s="5">
        <v>94.14</v>
      </c>
      <c r="F32" s="5">
        <v>94.88</v>
      </c>
      <c r="H32" s="6"/>
    </row>
    <row r="33" spans="1:8" ht="15.5" x14ac:dyDescent="0.35">
      <c r="A33" s="4" t="s">
        <v>36</v>
      </c>
      <c r="B33" s="5">
        <v>99.65</v>
      </c>
      <c r="C33" s="5">
        <v>100</v>
      </c>
      <c r="D33" s="5">
        <v>95.51</v>
      </c>
      <c r="E33" s="5">
        <v>100</v>
      </c>
      <c r="F33" s="5">
        <v>100</v>
      </c>
      <c r="H33" s="6"/>
    </row>
    <row r="34" spans="1:8" ht="15.5" x14ac:dyDescent="0.35">
      <c r="A34" s="4" t="s">
        <v>37</v>
      </c>
      <c r="B34" s="5">
        <v>100</v>
      </c>
      <c r="C34" s="5">
        <v>100</v>
      </c>
      <c r="D34" s="5">
        <v>100</v>
      </c>
      <c r="E34" s="5">
        <v>100</v>
      </c>
      <c r="F34" s="5">
        <v>100</v>
      </c>
      <c r="H34" s="6"/>
    </row>
    <row r="35" spans="1:8" ht="15.5" x14ac:dyDescent="0.35">
      <c r="A35" s="4" t="s">
        <v>38</v>
      </c>
      <c r="B35" s="5">
        <v>100</v>
      </c>
      <c r="C35" s="5">
        <v>100</v>
      </c>
      <c r="D35" s="5">
        <v>90.6</v>
      </c>
      <c r="E35" s="5">
        <v>100</v>
      </c>
      <c r="F35" s="5">
        <v>100</v>
      </c>
      <c r="H35" s="6"/>
    </row>
    <row r="36" spans="1:8" ht="15.5" x14ac:dyDescent="0.35">
      <c r="A36" s="4" t="s">
        <v>39</v>
      </c>
      <c r="B36" s="5">
        <v>95.79</v>
      </c>
      <c r="C36" s="5">
        <v>100</v>
      </c>
      <c r="D36" s="5">
        <v>100</v>
      </c>
      <c r="E36" s="5">
        <v>94.42</v>
      </c>
      <c r="F36" s="5">
        <v>100</v>
      </c>
      <c r="H36" s="6"/>
    </row>
    <row r="37" spans="1:8" ht="15.5" x14ac:dyDescent="0.35">
      <c r="A37" s="4" t="s">
        <v>40</v>
      </c>
      <c r="B37" s="5">
        <v>97.52</v>
      </c>
      <c r="C37" s="5">
        <v>100</v>
      </c>
      <c r="D37" s="5">
        <v>95.54</v>
      </c>
      <c r="E37" s="5">
        <v>100</v>
      </c>
      <c r="F37" s="5">
        <v>94.5</v>
      </c>
      <c r="H37" s="6"/>
    </row>
    <row r="38" spans="1:8" ht="15.5" x14ac:dyDescent="0.35">
      <c r="A38" s="4" t="s">
        <v>41</v>
      </c>
      <c r="B38" s="5">
        <v>96.5</v>
      </c>
      <c r="C38" s="5">
        <v>96.94</v>
      </c>
      <c r="D38" s="5">
        <v>100</v>
      </c>
      <c r="E38" s="5">
        <v>100</v>
      </c>
      <c r="F38" s="5">
        <v>100</v>
      </c>
      <c r="H38" s="6"/>
    </row>
    <row r="39" spans="1:8" ht="15.5" x14ac:dyDescent="0.35">
      <c r="A39" s="4" t="s">
        <v>42</v>
      </c>
      <c r="B39" s="5">
        <v>100</v>
      </c>
      <c r="C39" s="5">
        <v>92.12</v>
      </c>
      <c r="D39" s="5">
        <v>91.83</v>
      </c>
      <c r="E39" s="5">
        <v>88.87</v>
      </c>
      <c r="F39" s="5">
        <v>96.83</v>
      </c>
      <c r="H39" s="6"/>
    </row>
    <row r="40" spans="1:8" ht="15.5" x14ac:dyDescent="0.35">
      <c r="A40" s="4" t="s">
        <v>43</v>
      </c>
      <c r="B40" s="5">
        <v>100</v>
      </c>
      <c r="C40" s="5">
        <v>96.43</v>
      </c>
      <c r="D40" s="5">
        <v>97.97</v>
      </c>
      <c r="E40" s="5">
        <v>100</v>
      </c>
      <c r="F40" s="5">
        <v>97.98</v>
      </c>
      <c r="H40" s="6"/>
    </row>
    <row r="41" spans="1:8" ht="15.5" x14ac:dyDescent="0.35">
      <c r="A41" s="4" t="s">
        <v>44</v>
      </c>
      <c r="B41" s="5">
        <v>90.91</v>
      </c>
      <c r="C41" s="5">
        <v>100</v>
      </c>
      <c r="D41" s="5">
        <v>100</v>
      </c>
      <c r="E41" s="5">
        <v>83.83</v>
      </c>
      <c r="F41" s="5">
        <v>100</v>
      </c>
      <c r="H41" s="6"/>
    </row>
    <row r="42" spans="1:8" ht="15" hidden="1" customHeight="1" x14ac:dyDescent="0.35">
      <c r="A42" s="4" t="s">
        <v>45</v>
      </c>
      <c r="B42" s="5">
        <v>83.71</v>
      </c>
      <c r="C42" s="5">
        <v>93.08</v>
      </c>
      <c r="D42" s="5">
        <v>93.91</v>
      </c>
      <c r="E42" s="5">
        <v>94.92</v>
      </c>
      <c r="F42" s="5">
        <v>88.08</v>
      </c>
      <c r="H42" s="6"/>
    </row>
    <row r="46" spans="1:8" ht="15.5" x14ac:dyDescent="0.35">
      <c r="F46" s="9">
        <v>40660604.999998726</v>
      </c>
    </row>
    <row r="47" spans="1:8" ht="15.5" x14ac:dyDescent="0.35">
      <c r="F47" s="9">
        <v>40485309.000001431</v>
      </c>
    </row>
    <row r="48" spans="1:8" ht="15.5" x14ac:dyDescent="0.35">
      <c r="F48" s="9">
        <v>40300474.000001721</v>
      </c>
    </row>
    <row r="49" spans="6:6" ht="15.5" x14ac:dyDescent="0.35">
      <c r="F49" s="9">
        <v>40106454.946722746</v>
      </c>
    </row>
    <row r="50" spans="6:6" ht="15.5" x14ac:dyDescent="0.35">
      <c r="F50" s="9">
        <v>39839393.838448524</v>
      </c>
    </row>
  </sheetData>
  <mergeCells count="1">
    <mergeCell ref="A1:F1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1"/>
  <sheetViews>
    <sheetView topLeftCell="F1" zoomScale="91" workbookViewId="0">
      <selection activeCell="M8" sqref="M8:R8"/>
    </sheetView>
  </sheetViews>
  <sheetFormatPr defaultColWidth="11.25" defaultRowHeight="15" customHeight="1" x14ac:dyDescent="0.35"/>
  <cols>
    <col min="1" max="1" width="26.58203125" customWidth="1"/>
    <col min="2" max="11" width="10.08203125" customWidth="1"/>
    <col min="12" max="26" width="8.5" customWidth="1"/>
  </cols>
  <sheetData>
    <row r="1" spans="1:18" ht="15.5" x14ac:dyDescent="0.35">
      <c r="A1" s="38" t="s">
        <v>126</v>
      </c>
      <c r="B1" s="39"/>
      <c r="C1" s="39"/>
      <c r="D1" s="39"/>
      <c r="E1" s="39"/>
      <c r="F1" s="39"/>
      <c r="G1" s="39"/>
      <c r="H1" s="39"/>
      <c r="I1" s="39"/>
      <c r="J1" s="39"/>
      <c r="K1" s="41"/>
    </row>
    <row r="2" spans="1:18" ht="15.5" x14ac:dyDescent="0.35">
      <c r="A2" s="1"/>
      <c r="B2" s="43">
        <v>2020</v>
      </c>
      <c r="C2" s="41"/>
      <c r="D2" s="43">
        <v>2021</v>
      </c>
      <c r="E2" s="41"/>
      <c r="F2" s="43">
        <v>2022</v>
      </c>
      <c r="G2" s="41"/>
      <c r="H2" s="43">
        <v>2023</v>
      </c>
      <c r="I2" s="41"/>
      <c r="J2" s="43">
        <v>2024</v>
      </c>
      <c r="K2" s="41"/>
    </row>
    <row r="3" spans="1:18" ht="15.5" x14ac:dyDescent="0.35">
      <c r="A3" s="2" t="s">
        <v>1</v>
      </c>
      <c r="B3" s="3" t="s">
        <v>127</v>
      </c>
      <c r="C3" s="3" t="s">
        <v>128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133</v>
      </c>
      <c r="I3" s="3" t="s">
        <v>134</v>
      </c>
      <c r="J3" s="19" t="s">
        <v>135</v>
      </c>
      <c r="K3" s="19" t="s">
        <v>136</v>
      </c>
    </row>
    <row r="4" spans="1:18" ht="15.5" x14ac:dyDescent="0.35">
      <c r="A4" s="4" t="s">
        <v>7</v>
      </c>
      <c r="B4" s="8">
        <v>57.08</v>
      </c>
      <c r="C4" s="8">
        <v>95.23</v>
      </c>
      <c r="D4" s="8">
        <v>72.2</v>
      </c>
      <c r="E4" s="8">
        <v>98.11</v>
      </c>
      <c r="F4" s="8">
        <v>83.13</v>
      </c>
      <c r="G4" s="8">
        <v>99.58</v>
      </c>
      <c r="H4" s="8">
        <v>74.13</v>
      </c>
      <c r="I4" s="8">
        <v>98.64</v>
      </c>
      <c r="J4" s="8">
        <v>70.12</v>
      </c>
      <c r="K4" s="8">
        <v>100</v>
      </c>
    </row>
    <row r="5" spans="1:18" ht="15.5" x14ac:dyDescent="0.35">
      <c r="A5" s="4" t="s">
        <v>8</v>
      </c>
      <c r="B5" s="8">
        <v>66.61</v>
      </c>
      <c r="C5" s="8">
        <v>95.3</v>
      </c>
      <c r="D5" s="8">
        <v>85.89</v>
      </c>
      <c r="E5" s="8">
        <v>84.98</v>
      </c>
      <c r="F5" s="8">
        <v>80.430000000000007</v>
      </c>
      <c r="G5" s="8">
        <v>92.51</v>
      </c>
      <c r="H5" s="8">
        <v>82.67</v>
      </c>
      <c r="I5" s="8">
        <v>90.44</v>
      </c>
      <c r="J5" s="8">
        <v>91.19</v>
      </c>
      <c r="K5" s="8">
        <v>96.48</v>
      </c>
    </row>
    <row r="6" spans="1:18" ht="15.5" x14ac:dyDescent="0.35">
      <c r="A6" s="4" t="s">
        <v>9</v>
      </c>
      <c r="B6" s="8">
        <v>39.619999999999997</v>
      </c>
      <c r="C6" s="8">
        <v>93.37</v>
      </c>
      <c r="D6" s="8">
        <v>50.47</v>
      </c>
      <c r="E6" s="8">
        <v>88.56</v>
      </c>
      <c r="F6" s="8">
        <v>52.12</v>
      </c>
      <c r="G6" s="8">
        <v>93.18</v>
      </c>
      <c r="H6" s="8">
        <v>86.11</v>
      </c>
      <c r="I6" s="8">
        <v>96.73</v>
      </c>
      <c r="J6" s="8">
        <v>88.71</v>
      </c>
      <c r="K6" s="8">
        <v>96.71</v>
      </c>
      <c r="N6">
        <v>2020</v>
      </c>
      <c r="O6">
        <v>2021</v>
      </c>
      <c r="P6">
        <v>2022</v>
      </c>
      <c r="Q6">
        <v>2023</v>
      </c>
      <c r="R6">
        <v>2024</v>
      </c>
    </row>
    <row r="7" spans="1:18" ht="15.5" x14ac:dyDescent="0.35">
      <c r="A7" s="4" t="s">
        <v>10</v>
      </c>
      <c r="B7" s="8">
        <v>52.72</v>
      </c>
      <c r="C7" s="8">
        <v>98.71</v>
      </c>
      <c r="D7" s="8">
        <v>86.62</v>
      </c>
      <c r="E7" s="8">
        <v>85.47</v>
      </c>
      <c r="F7" s="8">
        <v>97.85</v>
      </c>
      <c r="G7" s="8">
        <v>86.34</v>
      </c>
      <c r="H7" s="8">
        <v>100</v>
      </c>
      <c r="I7" s="8">
        <v>90.97</v>
      </c>
      <c r="J7" s="8">
        <v>100</v>
      </c>
      <c r="K7" s="8">
        <v>95.2</v>
      </c>
      <c r="M7" t="s">
        <v>175</v>
      </c>
      <c r="N7" s="33">
        <v>52.72</v>
      </c>
      <c r="O7" s="33">
        <v>86.62</v>
      </c>
      <c r="P7" s="33">
        <v>97.85</v>
      </c>
      <c r="Q7" s="33">
        <v>100</v>
      </c>
      <c r="R7" s="33">
        <v>100</v>
      </c>
    </row>
    <row r="8" spans="1:18" ht="15.5" x14ac:dyDescent="0.35">
      <c r="A8" s="4" t="s">
        <v>11</v>
      </c>
      <c r="B8" s="8">
        <v>75.61</v>
      </c>
      <c r="C8" s="8">
        <v>98.01</v>
      </c>
      <c r="D8" s="8">
        <v>93.14</v>
      </c>
      <c r="E8" s="8">
        <v>99.28</v>
      </c>
      <c r="F8" s="8">
        <v>89.21</v>
      </c>
      <c r="G8" s="8">
        <v>94.42</v>
      </c>
      <c r="H8" s="8">
        <v>93.46</v>
      </c>
      <c r="I8" s="8">
        <v>93.09</v>
      </c>
      <c r="J8" s="8">
        <v>98.89</v>
      </c>
      <c r="K8" s="8">
        <v>97.28</v>
      </c>
      <c r="M8" t="s">
        <v>176</v>
      </c>
      <c r="N8" s="33">
        <v>98.71</v>
      </c>
      <c r="O8" s="33">
        <v>85.47</v>
      </c>
      <c r="P8" s="33">
        <v>86.34</v>
      </c>
      <c r="Q8" s="33">
        <v>90.97</v>
      </c>
      <c r="R8" s="33">
        <v>95.2</v>
      </c>
    </row>
    <row r="9" spans="1:18" ht="15.5" x14ac:dyDescent="0.35">
      <c r="A9" s="4" t="s">
        <v>12</v>
      </c>
      <c r="B9" s="8">
        <v>59.46</v>
      </c>
      <c r="C9" s="8">
        <v>91.4</v>
      </c>
      <c r="D9" s="8">
        <v>98.6</v>
      </c>
      <c r="E9" s="8">
        <v>88.67</v>
      </c>
      <c r="F9" s="8">
        <v>91.73</v>
      </c>
      <c r="G9" s="8">
        <v>87.78</v>
      </c>
      <c r="H9" s="8">
        <v>92.75</v>
      </c>
      <c r="I9" s="8">
        <v>91.4</v>
      </c>
      <c r="J9" s="8">
        <v>100</v>
      </c>
      <c r="K9" s="8">
        <v>100</v>
      </c>
    </row>
    <row r="10" spans="1:18" ht="15.5" x14ac:dyDescent="0.35">
      <c r="A10" s="4" t="s">
        <v>13</v>
      </c>
      <c r="B10" s="8">
        <v>60.56</v>
      </c>
      <c r="C10" s="8">
        <v>95.14</v>
      </c>
      <c r="D10" s="8">
        <v>95.86</v>
      </c>
      <c r="E10" s="8">
        <v>88.9</v>
      </c>
      <c r="F10" s="8">
        <v>88.87</v>
      </c>
      <c r="G10" s="8">
        <v>93.77</v>
      </c>
      <c r="H10" s="8">
        <v>97.84</v>
      </c>
      <c r="I10" s="8">
        <v>91.81</v>
      </c>
      <c r="J10" s="8">
        <v>98.12</v>
      </c>
      <c r="K10" s="8">
        <v>95.34</v>
      </c>
    </row>
    <row r="11" spans="1:18" ht="15.5" x14ac:dyDescent="0.35">
      <c r="A11" s="4" t="s">
        <v>14</v>
      </c>
      <c r="B11" s="8">
        <v>55.87</v>
      </c>
      <c r="C11" s="8">
        <v>83.28</v>
      </c>
      <c r="D11" s="8">
        <v>93.81</v>
      </c>
      <c r="E11" s="8">
        <v>89.64</v>
      </c>
      <c r="F11" s="8">
        <v>97.7</v>
      </c>
      <c r="G11" s="8">
        <v>83.04</v>
      </c>
      <c r="H11" s="8">
        <v>92.93</v>
      </c>
      <c r="I11" s="8">
        <v>78.31</v>
      </c>
      <c r="J11" s="8">
        <v>100</v>
      </c>
      <c r="K11" s="8">
        <v>89.58</v>
      </c>
    </row>
    <row r="12" spans="1:18" ht="15.5" x14ac:dyDescent="0.35">
      <c r="A12" s="4" t="s">
        <v>15</v>
      </c>
      <c r="B12" s="8">
        <v>40.18</v>
      </c>
      <c r="C12" s="8">
        <v>56.34</v>
      </c>
      <c r="D12" s="8">
        <v>90.33</v>
      </c>
      <c r="E12" s="8">
        <v>59.33</v>
      </c>
      <c r="F12" s="8">
        <v>92.38</v>
      </c>
      <c r="G12" s="8">
        <v>53.64</v>
      </c>
      <c r="H12" s="8">
        <v>96.74</v>
      </c>
      <c r="I12" s="8">
        <v>56.1</v>
      </c>
      <c r="J12" s="8">
        <v>95.71</v>
      </c>
      <c r="K12" s="8">
        <v>72.94</v>
      </c>
    </row>
    <row r="13" spans="1:18" ht="15.5" x14ac:dyDescent="0.35">
      <c r="A13" s="4" t="s">
        <v>16</v>
      </c>
      <c r="B13" s="8">
        <v>61.54</v>
      </c>
      <c r="C13" s="8">
        <v>62.16</v>
      </c>
      <c r="D13" s="8">
        <v>79.69</v>
      </c>
      <c r="E13" s="8">
        <v>71.86</v>
      </c>
      <c r="F13" s="8">
        <v>96.76</v>
      </c>
      <c r="G13" s="8">
        <v>75.78</v>
      </c>
      <c r="H13" s="8">
        <v>92.34</v>
      </c>
      <c r="I13" s="8">
        <v>74.72</v>
      </c>
      <c r="J13" s="8">
        <v>100</v>
      </c>
      <c r="K13" s="8">
        <v>81.319999999999993</v>
      </c>
    </row>
    <row r="14" spans="1:18" ht="15.5" x14ac:dyDescent="0.35">
      <c r="A14" s="4" t="s">
        <v>17</v>
      </c>
      <c r="B14" s="8">
        <v>64.819999999999993</v>
      </c>
      <c r="C14" s="8">
        <v>37.08</v>
      </c>
      <c r="D14" s="8">
        <v>88.99</v>
      </c>
      <c r="E14" s="8">
        <v>53.05</v>
      </c>
      <c r="F14" s="8">
        <v>91.65</v>
      </c>
      <c r="G14" s="8">
        <v>42</v>
      </c>
      <c r="H14" s="8">
        <v>93.8</v>
      </c>
      <c r="I14" s="8">
        <v>55.24</v>
      </c>
      <c r="J14" s="8">
        <v>93.38</v>
      </c>
      <c r="K14" s="8">
        <v>58.16</v>
      </c>
    </row>
    <row r="15" spans="1:18" ht="15.5" x14ac:dyDescent="0.35">
      <c r="A15" s="4" t="s">
        <v>18</v>
      </c>
      <c r="B15" s="8">
        <v>60.84</v>
      </c>
      <c r="C15" s="8">
        <v>48.78</v>
      </c>
      <c r="D15" s="8">
        <v>95.54</v>
      </c>
      <c r="E15" s="8">
        <v>51.18</v>
      </c>
      <c r="F15" s="8">
        <v>99.22</v>
      </c>
      <c r="G15" s="8">
        <v>56.47</v>
      </c>
      <c r="H15" s="8">
        <v>92.03</v>
      </c>
      <c r="I15" s="8">
        <v>58.26</v>
      </c>
      <c r="J15" s="8">
        <v>80.819999999999993</v>
      </c>
      <c r="K15" s="8">
        <v>66.92</v>
      </c>
    </row>
    <row r="16" spans="1:18" ht="15.5" x14ac:dyDescent="0.35">
      <c r="A16" s="4" t="s">
        <v>19</v>
      </c>
      <c r="B16" s="8">
        <v>54</v>
      </c>
      <c r="C16" s="8">
        <v>68.12</v>
      </c>
      <c r="D16" s="8">
        <v>89.02</v>
      </c>
      <c r="E16" s="8">
        <v>64.709999999999994</v>
      </c>
      <c r="F16" s="8">
        <v>97.72</v>
      </c>
      <c r="G16" s="8">
        <v>74.52</v>
      </c>
      <c r="H16" s="8">
        <v>98.28</v>
      </c>
      <c r="I16" s="8">
        <v>77.27</v>
      </c>
      <c r="J16" s="8">
        <v>96.93</v>
      </c>
      <c r="K16" s="8">
        <v>81.3</v>
      </c>
    </row>
    <row r="17" spans="1:11" ht="15.5" x14ac:dyDescent="0.35">
      <c r="A17" s="4" t="s">
        <v>20</v>
      </c>
      <c r="B17" s="8">
        <v>53.65</v>
      </c>
      <c r="C17" s="8">
        <v>87.75</v>
      </c>
      <c r="D17" s="8">
        <v>99.3</v>
      </c>
      <c r="E17" s="8">
        <v>82.15</v>
      </c>
      <c r="F17" s="8">
        <v>94.32</v>
      </c>
      <c r="G17" s="8">
        <v>89.6</v>
      </c>
      <c r="H17" s="8">
        <v>93.65</v>
      </c>
      <c r="I17" s="8">
        <v>92.55</v>
      </c>
      <c r="J17" s="8">
        <v>97.18</v>
      </c>
      <c r="K17" s="8">
        <v>95.24</v>
      </c>
    </row>
    <row r="18" spans="1:11" ht="15.5" x14ac:dyDescent="0.35">
      <c r="A18" s="4" t="s">
        <v>21</v>
      </c>
      <c r="B18" s="8">
        <v>91.23</v>
      </c>
      <c r="C18" s="8">
        <v>88.37</v>
      </c>
      <c r="D18" s="8">
        <v>100</v>
      </c>
      <c r="E18" s="8">
        <v>89.87</v>
      </c>
      <c r="F18" s="8">
        <v>100</v>
      </c>
      <c r="G18" s="8">
        <v>95.87</v>
      </c>
      <c r="H18" s="8">
        <v>95.9</v>
      </c>
      <c r="I18" s="8">
        <v>93.69</v>
      </c>
      <c r="J18" s="8">
        <v>100</v>
      </c>
      <c r="K18" s="8">
        <v>94.76</v>
      </c>
    </row>
    <row r="19" spans="1:11" ht="15.5" x14ac:dyDescent="0.35">
      <c r="A19" s="4" t="s">
        <v>22</v>
      </c>
      <c r="B19" s="8">
        <v>83.98</v>
      </c>
      <c r="C19" s="8">
        <v>80.489999999999995</v>
      </c>
      <c r="D19" s="8">
        <v>94.64</v>
      </c>
      <c r="E19" s="8">
        <v>87.98</v>
      </c>
      <c r="F19" s="8">
        <v>98.19</v>
      </c>
      <c r="G19" s="8">
        <v>79.930000000000007</v>
      </c>
      <c r="H19" s="8">
        <v>100</v>
      </c>
      <c r="I19" s="8">
        <v>95.2</v>
      </c>
      <c r="J19" s="8">
        <v>94.33</v>
      </c>
      <c r="K19" s="8">
        <v>99.91</v>
      </c>
    </row>
    <row r="20" spans="1:11" ht="15.5" x14ac:dyDescent="0.35">
      <c r="A20" s="4" t="s">
        <v>23</v>
      </c>
      <c r="B20" s="8">
        <v>72.7</v>
      </c>
      <c r="C20" s="8">
        <v>77.34</v>
      </c>
      <c r="D20" s="8">
        <v>100</v>
      </c>
      <c r="E20" s="8">
        <v>89.99</v>
      </c>
      <c r="F20" s="8">
        <v>97.36</v>
      </c>
      <c r="G20" s="8">
        <v>90.17</v>
      </c>
      <c r="H20" s="8">
        <v>98.31</v>
      </c>
      <c r="I20" s="8">
        <v>97.46</v>
      </c>
      <c r="J20" s="8">
        <v>100</v>
      </c>
      <c r="K20" s="8">
        <v>99.63</v>
      </c>
    </row>
    <row r="21" spans="1:11" ht="15.5" x14ac:dyDescent="0.35">
      <c r="A21" s="4" t="s">
        <v>24</v>
      </c>
      <c r="B21" s="8">
        <v>67.52</v>
      </c>
      <c r="C21" s="8">
        <v>93.59</v>
      </c>
      <c r="D21" s="8">
        <v>98.72</v>
      </c>
      <c r="E21" s="8">
        <v>93.31</v>
      </c>
      <c r="F21" s="8">
        <v>100</v>
      </c>
      <c r="G21" s="8">
        <v>79.540000000000006</v>
      </c>
      <c r="H21" s="8">
        <v>97.16</v>
      </c>
      <c r="I21" s="8">
        <v>96.07</v>
      </c>
      <c r="J21" s="8">
        <v>100</v>
      </c>
      <c r="K21" s="8">
        <v>93.94</v>
      </c>
    </row>
    <row r="22" spans="1:11" ht="15.5" x14ac:dyDescent="0.35">
      <c r="A22" s="4" t="s">
        <v>25</v>
      </c>
      <c r="B22" s="8">
        <v>77.17</v>
      </c>
      <c r="C22" s="8">
        <v>89.89</v>
      </c>
      <c r="D22" s="8">
        <v>97.14</v>
      </c>
      <c r="E22" s="8">
        <v>92.49</v>
      </c>
      <c r="F22" s="8">
        <v>97.12</v>
      </c>
      <c r="G22" s="8">
        <v>93.65</v>
      </c>
      <c r="H22" s="8">
        <v>94.95</v>
      </c>
      <c r="I22" s="8">
        <v>96.61</v>
      </c>
      <c r="J22" s="8">
        <v>100</v>
      </c>
      <c r="K22" s="8">
        <v>95.14</v>
      </c>
    </row>
    <row r="23" spans="1:11" ht="15.5" x14ac:dyDescent="0.35">
      <c r="A23" s="4" t="s">
        <v>26</v>
      </c>
      <c r="B23" s="8">
        <v>91.15</v>
      </c>
      <c r="C23" s="8">
        <v>97.15</v>
      </c>
      <c r="D23" s="8">
        <v>100</v>
      </c>
      <c r="E23" s="8">
        <v>94.58</v>
      </c>
      <c r="F23" s="8">
        <v>98.91</v>
      </c>
      <c r="G23" s="8">
        <v>95.36</v>
      </c>
      <c r="H23" s="8">
        <v>99.43</v>
      </c>
      <c r="I23" s="8">
        <v>93.39</v>
      </c>
      <c r="J23" s="8">
        <v>94.34</v>
      </c>
      <c r="K23" s="8">
        <v>85.39</v>
      </c>
    </row>
    <row r="24" spans="1:11" ht="15.5" x14ac:dyDescent="0.35">
      <c r="A24" s="4" t="s">
        <v>27</v>
      </c>
      <c r="B24" s="8">
        <v>86.93</v>
      </c>
      <c r="C24" s="8">
        <v>90.64</v>
      </c>
      <c r="D24" s="8">
        <v>99.43</v>
      </c>
      <c r="E24" s="8">
        <v>86.25</v>
      </c>
      <c r="F24" s="8">
        <v>100</v>
      </c>
      <c r="G24" s="8">
        <v>93.63</v>
      </c>
      <c r="H24" s="8">
        <v>99.38</v>
      </c>
      <c r="I24" s="8">
        <v>97.91</v>
      </c>
      <c r="J24" s="8">
        <v>100</v>
      </c>
      <c r="K24" s="8">
        <v>99.53</v>
      </c>
    </row>
    <row r="25" spans="1:11" ht="15.5" x14ac:dyDescent="0.35">
      <c r="A25" s="4" t="s">
        <v>28</v>
      </c>
      <c r="B25" s="8">
        <v>87.69</v>
      </c>
      <c r="C25" s="8">
        <v>92.73</v>
      </c>
      <c r="D25" s="8">
        <v>95.89</v>
      </c>
      <c r="E25" s="8">
        <v>92.88</v>
      </c>
      <c r="F25" s="8">
        <v>94.71</v>
      </c>
      <c r="G25" s="8">
        <v>94.23</v>
      </c>
      <c r="H25" s="8">
        <v>100</v>
      </c>
      <c r="I25" s="8">
        <v>93.38</v>
      </c>
      <c r="J25" s="8">
        <v>94.15</v>
      </c>
      <c r="K25" s="8">
        <v>97.22</v>
      </c>
    </row>
    <row r="26" spans="1:11" ht="15.5" x14ac:dyDescent="0.35">
      <c r="A26" s="4" t="s">
        <v>29</v>
      </c>
      <c r="B26" s="8">
        <v>74.180000000000007</v>
      </c>
      <c r="C26" s="8">
        <v>78.86</v>
      </c>
      <c r="D26" s="8">
        <v>98.85</v>
      </c>
      <c r="E26" s="8">
        <v>84.7</v>
      </c>
      <c r="F26" s="8">
        <v>94.52</v>
      </c>
      <c r="G26" s="8">
        <v>83.98</v>
      </c>
      <c r="H26" s="8">
        <v>96.21</v>
      </c>
      <c r="I26" s="8">
        <v>88.66</v>
      </c>
      <c r="J26" s="8">
        <v>100</v>
      </c>
      <c r="K26" s="8">
        <v>92.49</v>
      </c>
    </row>
    <row r="27" spans="1:11" ht="15.5" x14ac:dyDescent="0.35">
      <c r="A27" s="4" t="s">
        <v>30</v>
      </c>
      <c r="B27" s="8">
        <v>84.38</v>
      </c>
      <c r="C27" s="8">
        <v>88.94</v>
      </c>
      <c r="D27" s="8">
        <v>89.35</v>
      </c>
      <c r="E27" s="8">
        <v>92.25</v>
      </c>
      <c r="F27" s="8">
        <v>84.05</v>
      </c>
      <c r="G27" s="8">
        <v>95.06</v>
      </c>
      <c r="H27" s="8">
        <v>82.62</v>
      </c>
      <c r="I27" s="8">
        <v>98.73</v>
      </c>
      <c r="J27" s="8">
        <v>89.78</v>
      </c>
      <c r="K27" s="8">
        <v>97.83</v>
      </c>
    </row>
    <row r="28" spans="1:11" ht="15.5" x14ac:dyDescent="0.35">
      <c r="A28" s="4" t="s">
        <v>31</v>
      </c>
      <c r="B28" s="8">
        <v>86.29</v>
      </c>
      <c r="C28" s="8">
        <v>96.45</v>
      </c>
      <c r="D28" s="8">
        <v>84.66</v>
      </c>
      <c r="E28" s="8">
        <v>96.89</v>
      </c>
      <c r="F28" s="8">
        <v>87.46</v>
      </c>
      <c r="G28" s="8">
        <v>97.61</v>
      </c>
      <c r="H28" s="8">
        <v>95.01</v>
      </c>
      <c r="I28" s="8">
        <v>99.49</v>
      </c>
      <c r="J28" s="8">
        <v>97.1</v>
      </c>
      <c r="K28" s="8">
        <v>100</v>
      </c>
    </row>
    <row r="29" spans="1:11" ht="15.5" x14ac:dyDescent="0.35">
      <c r="A29" s="4" t="s">
        <v>32</v>
      </c>
      <c r="B29" s="8">
        <v>64.86</v>
      </c>
      <c r="C29" s="8">
        <v>94.65</v>
      </c>
      <c r="D29" s="8">
        <v>98.81</v>
      </c>
      <c r="E29" s="8">
        <v>94.51</v>
      </c>
      <c r="F29" s="8">
        <v>96.13</v>
      </c>
      <c r="G29" s="8">
        <v>89.98</v>
      </c>
      <c r="H29" s="8">
        <v>95</v>
      </c>
      <c r="I29" s="8">
        <v>87.68</v>
      </c>
      <c r="J29" s="8">
        <v>99.3</v>
      </c>
      <c r="K29" s="8">
        <v>95.12</v>
      </c>
    </row>
    <row r="30" spans="1:11" ht="15.5" x14ac:dyDescent="0.35">
      <c r="A30" s="4" t="s">
        <v>33</v>
      </c>
      <c r="B30" s="8">
        <v>70.14</v>
      </c>
      <c r="C30" s="8">
        <v>86.43</v>
      </c>
      <c r="D30" s="8">
        <v>92.02</v>
      </c>
      <c r="E30" s="8">
        <v>84.55</v>
      </c>
      <c r="F30" s="8">
        <v>92.63</v>
      </c>
      <c r="G30" s="8">
        <v>90.44</v>
      </c>
      <c r="H30" s="8">
        <v>94.26</v>
      </c>
      <c r="I30" s="8">
        <v>95.81</v>
      </c>
      <c r="J30" s="8">
        <v>97.11</v>
      </c>
      <c r="K30" s="8">
        <v>99.09</v>
      </c>
    </row>
    <row r="31" spans="1:11" ht="15.5" x14ac:dyDescent="0.35">
      <c r="A31" s="4" t="s">
        <v>34</v>
      </c>
      <c r="B31" s="8">
        <v>65.62</v>
      </c>
      <c r="C31" s="8">
        <v>90.74</v>
      </c>
      <c r="D31" s="8">
        <v>69.819999999999993</v>
      </c>
      <c r="E31" s="8">
        <v>99.44</v>
      </c>
      <c r="F31" s="8">
        <v>81.069999999999993</v>
      </c>
      <c r="G31" s="8">
        <v>84.83</v>
      </c>
      <c r="H31" s="8">
        <v>100</v>
      </c>
      <c r="I31" s="8">
        <v>98.58</v>
      </c>
      <c r="J31" s="8">
        <v>94.1</v>
      </c>
      <c r="K31" s="8">
        <v>98.8</v>
      </c>
    </row>
    <row r="32" spans="1:11" ht="15.5" x14ac:dyDescent="0.35">
      <c r="A32" s="4" t="s">
        <v>35</v>
      </c>
      <c r="B32" s="8">
        <v>62.02</v>
      </c>
      <c r="C32" s="8">
        <v>77.37</v>
      </c>
      <c r="D32" s="8">
        <v>97.19</v>
      </c>
      <c r="E32" s="8">
        <v>77.709999999999994</v>
      </c>
      <c r="F32" s="8">
        <v>95.55</v>
      </c>
      <c r="G32" s="8">
        <v>82.07</v>
      </c>
      <c r="H32" s="8">
        <v>98.84</v>
      </c>
      <c r="I32" s="8">
        <v>88.45</v>
      </c>
      <c r="J32" s="8">
        <v>98.46</v>
      </c>
      <c r="K32" s="8">
        <v>93.77</v>
      </c>
    </row>
    <row r="33" spans="1:12" ht="15.5" x14ac:dyDescent="0.35">
      <c r="A33" s="4" t="s">
        <v>36</v>
      </c>
      <c r="B33" s="8">
        <v>50.16</v>
      </c>
      <c r="C33" s="8">
        <v>94.37</v>
      </c>
      <c r="D33" s="8">
        <v>100</v>
      </c>
      <c r="E33" s="8">
        <v>87.07</v>
      </c>
      <c r="F33" s="8">
        <v>100</v>
      </c>
      <c r="G33" s="8">
        <v>94.54</v>
      </c>
      <c r="H33" s="8">
        <v>95.56</v>
      </c>
      <c r="I33" s="8">
        <v>93.81</v>
      </c>
      <c r="J33" s="8">
        <v>100</v>
      </c>
      <c r="K33" s="8">
        <v>96.6</v>
      </c>
    </row>
    <row r="34" spans="1:12" ht="15.5" x14ac:dyDescent="0.35">
      <c r="A34" s="4" t="s">
        <v>37</v>
      </c>
      <c r="B34" s="8">
        <v>52.05</v>
      </c>
      <c r="C34" s="8">
        <v>100</v>
      </c>
      <c r="D34" s="8">
        <v>92.08</v>
      </c>
      <c r="E34" s="8">
        <v>93.56</v>
      </c>
      <c r="F34" s="8">
        <v>100</v>
      </c>
      <c r="G34" s="8">
        <v>88.25</v>
      </c>
      <c r="H34" s="8">
        <v>100</v>
      </c>
      <c r="I34" s="8">
        <v>92.65</v>
      </c>
      <c r="J34" s="8">
        <v>100</v>
      </c>
      <c r="K34" s="8">
        <v>89.79</v>
      </c>
    </row>
    <row r="35" spans="1:12" ht="15.5" x14ac:dyDescent="0.35">
      <c r="A35" s="4" t="s">
        <v>38</v>
      </c>
      <c r="B35" s="8">
        <v>69.599999999999994</v>
      </c>
      <c r="C35" s="8">
        <v>94.65</v>
      </c>
      <c r="D35" s="8">
        <v>100</v>
      </c>
      <c r="E35" s="8">
        <v>96.83</v>
      </c>
      <c r="F35" s="8">
        <v>100</v>
      </c>
      <c r="G35" s="8">
        <v>100</v>
      </c>
      <c r="H35" s="8">
        <v>100</v>
      </c>
      <c r="I35" s="8">
        <v>87.87</v>
      </c>
      <c r="J35" s="8">
        <v>100</v>
      </c>
      <c r="K35" s="8">
        <v>100</v>
      </c>
    </row>
    <row r="36" spans="1:12" ht="15.5" x14ac:dyDescent="0.35">
      <c r="A36" s="4" t="s">
        <v>39</v>
      </c>
      <c r="B36" s="8">
        <v>69.12</v>
      </c>
      <c r="C36" s="8">
        <v>80.58</v>
      </c>
      <c r="D36" s="8">
        <v>100</v>
      </c>
      <c r="E36" s="8">
        <v>80.44</v>
      </c>
      <c r="F36" s="8">
        <v>100</v>
      </c>
      <c r="G36" s="8">
        <v>95.4</v>
      </c>
      <c r="H36" s="8">
        <v>100</v>
      </c>
      <c r="I36" s="8">
        <v>86.35</v>
      </c>
      <c r="J36" s="8">
        <v>100</v>
      </c>
      <c r="K36" s="8">
        <v>100</v>
      </c>
    </row>
    <row r="37" spans="1:12" ht="15.5" x14ac:dyDescent="0.35">
      <c r="A37" s="4" t="s">
        <v>40</v>
      </c>
      <c r="B37" s="8">
        <v>94.08</v>
      </c>
      <c r="C37" s="8">
        <v>85.79</v>
      </c>
      <c r="D37" s="8">
        <v>100</v>
      </c>
      <c r="E37" s="8">
        <v>91.54</v>
      </c>
      <c r="F37" s="8">
        <v>100</v>
      </c>
      <c r="G37" s="8">
        <v>86.49</v>
      </c>
      <c r="H37" s="8">
        <v>100</v>
      </c>
      <c r="I37" s="8">
        <v>87.5</v>
      </c>
      <c r="J37" s="8">
        <v>100</v>
      </c>
      <c r="K37" s="8">
        <v>98.36</v>
      </c>
    </row>
    <row r="38" spans="1:12" ht="15.5" x14ac:dyDescent="0.35">
      <c r="A38" s="4" t="s">
        <v>41</v>
      </c>
      <c r="B38" s="8">
        <v>82.22</v>
      </c>
      <c r="C38" s="8">
        <v>100</v>
      </c>
      <c r="D38" s="8">
        <v>100</v>
      </c>
      <c r="E38" s="8">
        <v>91.21</v>
      </c>
      <c r="F38" s="8">
        <v>100</v>
      </c>
      <c r="G38" s="8">
        <v>96.76</v>
      </c>
      <c r="H38" s="8">
        <v>100</v>
      </c>
      <c r="I38" s="8">
        <v>95.95</v>
      </c>
      <c r="J38" s="8">
        <v>100</v>
      </c>
      <c r="K38" s="8">
        <v>96.55</v>
      </c>
    </row>
    <row r="39" spans="1:12" ht="15.5" x14ac:dyDescent="0.35">
      <c r="A39" s="4" t="s">
        <v>42</v>
      </c>
      <c r="B39" s="8">
        <v>77.209999999999994</v>
      </c>
      <c r="C39" s="8">
        <v>93.79</v>
      </c>
      <c r="D39" s="8">
        <v>100</v>
      </c>
      <c r="E39" s="8">
        <v>100</v>
      </c>
      <c r="F39" s="8">
        <v>96.3</v>
      </c>
      <c r="G39" s="8">
        <v>100</v>
      </c>
      <c r="H39" s="8">
        <v>100</v>
      </c>
      <c r="I39" s="8">
        <v>100</v>
      </c>
      <c r="J39" s="8">
        <v>100</v>
      </c>
      <c r="K39" s="8">
        <v>92.26</v>
      </c>
    </row>
    <row r="40" spans="1:12" ht="15.5" x14ac:dyDescent="0.35">
      <c r="A40" s="4" t="s">
        <v>43</v>
      </c>
      <c r="B40" s="8">
        <v>97.8</v>
      </c>
      <c r="C40" s="8">
        <v>84.44</v>
      </c>
      <c r="D40" s="8">
        <v>100</v>
      </c>
      <c r="E40" s="8">
        <v>98.35</v>
      </c>
      <c r="F40" s="8">
        <v>94.42</v>
      </c>
      <c r="G40" s="8">
        <v>87.06</v>
      </c>
      <c r="H40" s="8">
        <v>92.21</v>
      </c>
      <c r="I40" s="8">
        <v>97.71</v>
      </c>
      <c r="J40" s="8">
        <v>100</v>
      </c>
      <c r="K40" s="8">
        <v>99.78</v>
      </c>
    </row>
    <row r="41" spans="1:12" ht="15.5" x14ac:dyDescent="0.35">
      <c r="A41" s="4" t="s">
        <v>44</v>
      </c>
      <c r="B41" s="8">
        <v>62.12</v>
      </c>
      <c r="C41" s="8">
        <v>93.94</v>
      </c>
      <c r="D41" s="8">
        <v>100</v>
      </c>
      <c r="E41" s="8">
        <v>100</v>
      </c>
      <c r="F41" s="8">
        <v>100</v>
      </c>
      <c r="G41" s="8">
        <v>100</v>
      </c>
      <c r="H41" s="8">
        <v>100</v>
      </c>
      <c r="I41" s="8">
        <v>100</v>
      </c>
      <c r="J41" s="8">
        <v>100</v>
      </c>
      <c r="K41" s="8">
        <v>100</v>
      </c>
    </row>
    <row r="42" spans="1:12" ht="15.5" hidden="1" x14ac:dyDescent="0.35">
      <c r="A42" s="4" t="s">
        <v>45</v>
      </c>
      <c r="B42" s="8">
        <v>67.77</v>
      </c>
      <c r="C42" s="8">
        <v>82.56</v>
      </c>
      <c r="D42" s="8">
        <v>92.51</v>
      </c>
      <c r="E42" s="8">
        <v>83.97</v>
      </c>
      <c r="F42" s="8">
        <v>93.01</v>
      </c>
      <c r="G42" s="8">
        <v>84.31</v>
      </c>
      <c r="H42" s="8">
        <v>95.01</v>
      </c>
      <c r="I42" s="8">
        <v>87.71</v>
      </c>
      <c r="J42" s="8">
        <v>100</v>
      </c>
      <c r="K42" s="8">
        <v>92.05</v>
      </c>
    </row>
    <row r="46" spans="1:12" ht="15.5" x14ac:dyDescent="0.35">
      <c r="H46" s="4">
        <v>82.56</v>
      </c>
      <c r="I46" s="4">
        <v>83.97</v>
      </c>
      <c r="J46" s="4">
        <v>84.31</v>
      </c>
      <c r="K46" s="4">
        <v>87.71</v>
      </c>
      <c r="L46" s="4">
        <v>92.05</v>
      </c>
    </row>
    <row r="47" spans="1:12" ht="15.5" x14ac:dyDescent="0.35">
      <c r="B47" s="12">
        <v>67.77</v>
      </c>
      <c r="C47" s="12">
        <v>82.56</v>
      </c>
    </row>
    <row r="48" spans="1:12" ht="15.5" x14ac:dyDescent="0.35">
      <c r="B48" s="12">
        <v>92.51</v>
      </c>
      <c r="C48" s="12">
        <v>83.97</v>
      </c>
    </row>
    <row r="49" spans="2:3" ht="15.5" x14ac:dyDescent="0.35">
      <c r="B49" s="12">
        <v>93.01</v>
      </c>
      <c r="C49" s="12">
        <v>84.31</v>
      </c>
    </row>
    <row r="50" spans="2:3" ht="15.5" x14ac:dyDescent="0.35">
      <c r="B50" s="12">
        <v>95.01</v>
      </c>
      <c r="C50" s="12">
        <v>87.71</v>
      </c>
    </row>
    <row r="51" spans="2:3" ht="15.5" x14ac:dyDescent="0.35">
      <c r="B51" s="12">
        <v>100</v>
      </c>
      <c r="C51" s="13">
        <v>92.05</v>
      </c>
    </row>
  </sheetData>
  <mergeCells count="6">
    <mergeCell ref="A1:K1"/>
    <mergeCell ref="B2:C2"/>
    <mergeCell ref="D2:E2"/>
    <mergeCell ref="F2:G2"/>
    <mergeCell ref="H2:I2"/>
    <mergeCell ref="J2:K2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1000"/>
  <sheetViews>
    <sheetView tabSelected="1" topLeftCell="A32" zoomScale="91" zoomScaleNormal="214" workbookViewId="0">
      <selection activeCell="A42" sqref="A42:P42"/>
    </sheetView>
  </sheetViews>
  <sheetFormatPr defaultColWidth="11.25" defaultRowHeight="15" customHeight="1" x14ac:dyDescent="0.35"/>
  <cols>
    <col min="1" max="1" width="26.58203125" customWidth="1"/>
    <col min="2" max="8" width="10.08203125" customWidth="1"/>
    <col min="9" max="10" width="8.5" customWidth="1"/>
    <col min="11" max="13" width="8.58203125" customWidth="1"/>
    <col min="14" max="26" width="8.5" customWidth="1"/>
  </cols>
  <sheetData>
    <row r="1" spans="1:23" ht="15" customHeight="1" x14ac:dyDescent="0.35">
      <c r="A1" s="38" t="s">
        <v>137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1"/>
    </row>
    <row r="2" spans="1:23" ht="15.5" x14ac:dyDescent="0.35">
      <c r="A2" s="1"/>
      <c r="B2" s="43">
        <v>2020</v>
      </c>
      <c r="C2" s="39"/>
      <c r="D2" s="41"/>
      <c r="E2" s="43">
        <v>2021</v>
      </c>
      <c r="F2" s="39"/>
      <c r="G2" s="41"/>
      <c r="H2" s="43">
        <v>2022</v>
      </c>
      <c r="I2" s="39"/>
      <c r="J2" s="41"/>
      <c r="K2" s="43">
        <v>2023</v>
      </c>
      <c r="L2" s="39"/>
      <c r="M2" s="41"/>
      <c r="N2" s="43">
        <v>2024</v>
      </c>
      <c r="O2" s="39"/>
      <c r="P2" s="41"/>
    </row>
    <row r="3" spans="1:23" ht="15.5" x14ac:dyDescent="0.35">
      <c r="A3" s="2" t="s">
        <v>1</v>
      </c>
      <c r="B3" s="2" t="s">
        <v>138</v>
      </c>
      <c r="C3" s="2" t="s">
        <v>139</v>
      </c>
      <c r="D3" s="3" t="s">
        <v>140</v>
      </c>
      <c r="E3" s="2" t="s">
        <v>141</v>
      </c>
      <c r="F3" s="2" t="s">
        <v>142</v>
      </c>
      <c r="G3" s="3" t="s">
        <v>143</v>
      </c>
      <c r="H3" s="2" t="s">
        <v>144</v>
      </c>
      <c r="I3" s="2" t="s">
        <v>145</v>
      </c>
      <c r="J3" s="3" t="s">
        <v>146</v>
      </c>
      <c r="K3" s="2" t="s">
        <v>147</v>
      </c>
      <c r="L3" s="2" t="s">
        <v>148</v>
      </c>
      <c r="M3" s="3" t="s">
        <v>149</v>
      </c>
      <c r="N3" s="21" t="s">
        <v>150</v>
      </c>
      <c r="O3" s="21" t="s">
        <v>151</v>
      </c>
      <c r="P3" s="19" t="s">
        <v>152</v>
      </c>
    </row>
    <row r="4" spans="1:23" ht="15.5" x14ac:dyDescent="0.35">
      <c r="A4" s="4" t="s">
        <v>7</v>
      </c>
      <c r="B4" s="8">
        <v>64.959999999999994</v>
      </c>
      <c r="C4" s="8">
        <v>57.25</v>
      </c>
      <c r="D4" s="8">
        <v>58.37</v>
      </c>
      <c r="E4" s="8">
        <v>65.099999999999994</v>
      </c>
      <c r="F4" s="5">
        <v>59.51</v>
      </c>
      <c r="G4" s="5">
        <v>60.36</v>
      </c>
      <c r="H4" s="8">
        <v>64.680000000000007</v>
      </c>
      <c r="I4" s="5">
        <v>55.6</v>
      </c>
      <c r="J4" s="5">
        <v>56.14</v>
      </c>
      <c r="K4" s="8">
        <v>61.64</v>
      </c>
      <c r="L4" s="8">
        <v>51.54</v>
      </c>
      <c r="M4" s="8">
        <v>52.09</v>
      </c>
      <c r="N4" s="8">
        <v>62.97</v>
      </c>
      <c r="O4" s="8">
        <v>56.08</v>
      </c>
      <c r="P4" s="8">
        <v>56.45</v>
      </c>
      <c r="S4">
        <v>2020</v>
      </c>
      <c r="T4">
        <v>2021</v>
      </c>
      <c r="U4">
        <v>2022</v>
      </c>
      <c r="V4">
        <v>2023</v>
      </c>
      <c r="W4">
        <v>2024</v>
      </c>
    </row>
    <row r="5" spans="1:23" ht="15.5" x14ac:dyDescent="0.35">
      <c r="A5" s="4" t="s">
        <v>8</v>
      </c>
      <c r="B5" s="8">
        <v>65.84</v>
      </c>
      <c r="C5" s="8">
        <v>52.42</v>
      </c>
      <c r="D5" s="8">
        <v>53.76</v>
      </c>
      <c r="E5" s="8">
        <v>65.53</v>
      </c>
      <c r="F5" s="5">
        <v>55.37</v>
      </c>
      <c r="G5" s="5">
        <v>56.41</v>
      </c>
      <c r="H5" s="8">
        <v>64.19</v>
      </c>
      <c r="I5" s="5">
        <v>50.57</v>
      </c>
      <c r="J5" s="5">
        <v>51.05</v>
      </c>
      <c r="K5" s="8">
        <v>61.72</v>
      </c>
      <c r="L5" s="8">
        <v>48.61</v>
      </c>
      <c r="M5" s="8">
        <v>49.06</v>
      </c>
      <c r="N5" s="8">
        <v>61.66</v>
      </c>
      <c r="O5" s="8">
        <v>49.45</v>
      </c>
      <c r="P5" s="8">
        <v>49.89</v>
      </c>
      <c r="R5" t="s">
        <v>179</v>
      </c>
      <c r="S5" s="33">
        <v>66.680000000000007</v>
      </c>
      <c r="T5" s="33">
        <v>65.56</v>
      </c>
      <c r="U5" s="33">
        <v>64.69</v>
      </c>
      <c r="V5" s="33">
        <v>60.99</v>
      </c>
      <c r="W5" s="33">
        <v>61.57</v>
      </c>
    </row>
    <row r="6" spans="1:23" ht="15.5" x14ac:dyDescent="0.35">
      <c r="A6" s="4" t="s">
        <v>9</v>
      </c>
      <c r="B6" s="8">
        <v>65.67</v>
      </c>
      <c r="C6" s="8">
        <v>55.23</v>
      </c>
      <c r="D6" s="8">
        <v>56.44</v>
      </c>
      <c r="E6" s="8">
        <v>65.319999999999993</v>
      </c>
      <c r="F6" s="5">
        <v>57.16</v>
      </c>
      <c r="G6" s="5">
        <v>58.15</v>
      </c>
      <c r="H6" s="8">
        <v>65.400000000000006</v>
      </c>
      <c r="I6" s="5">
        <v>52.93</v>
      </c>
      <c r="J6" s="5">
        <v>53.47</v>
      </c>
      <c r="K6" s="8">
        <v>62.33</v>
      </c>
      <c r="L6" s="8">
        <v>51.83</v>
      </c>
      <c r="M6" s="8">
        <v>52.28</v>
      </c>
      <c r="N6" s="8">
        <v>62.95</v>
      </c>
      <c r="O6" s="8">
        <v>51.24</v>
      </c>
      <c r="P6" s="8">
        <v>51.7</v>
      </c>
      <c r="R6" t="s">
        <v>178</v>
      </c>
      <c r="S6" s="33">
        <v>54.62</v>
      </c>
      <c r="T6" s="31">
        <v>55.18</v>
      </c>
      <c r="U6" s="31">
        <v>55.66</v>
      </c>
      <c r="V6" s="33">
        <v>50.15</v>
      </c>
      <c r="W6" s="33">
        <v>51.82</v>
      </c>
    </row>
    <row r="7" spans="1:23" ht="15.5" x14ac:dyDescent="0.35">
      <c r="A7" s="4" t="s">
        <v>10</v>
      </c>
      <c r="B7" s="8">
        <v>66.680000000000007</v>
      </c>
      <c r="C7" s="8">
        <v>54.62</v>
      </c>
      <c r="D7" s="8">
        <v>55.51</v>
      </c>
      <c r="E7" s="8">
        <v>65.56</v>
      </c>
      <c r="F7" s="5">
        <v>55.18</v>
      </c>
      <c r="G7" s="5">
        <v>55.96</v>
      </c>
      <c r="H7" s="8">
        <v>64.69</v>
      </c>
      <c r="I7" s="5">
        <v>55.66</v>
      </c>
      <c r="J7" s="5">
        <v>55.86</v>
      </c>
      <c r="K7" s="8">
        <v>60.99</v>
      </c>
      <c r="L7" s="8">
        <v>50.15</v>
      </c>
      <c r="M7" s="8">
        <v>50.41</v>
      </c>
      <c r="N7" s="8">
        <v>61.57</v>
      </c>
      <c r="O7" s="8">
        <v>51.82</v>
      </c>
      <c r="P7" s="8">
        <v>52.06</v>
      </c>
      <c r="R7" t="s">
        <v>177</v>
      </c>
      <c r="S7" s="33">
        <v>55.51</v>
      </c>
      <c r="T7" s="31">
        <v>55.96</v>
      </c>
      <c r="U7" s="31">
        <v>55.86</v>
      </c>
      <c r="V7" s="33">
        <v>50.41</v>
      </c>
      <c r="W7" s="33">
        <v>52.06</v>
      </c>
    </row>
    <row r="8" spans="1:23" ht="15.5" x14ac:dyDescent="0.35">
      <c r="A8" s="4" t="s">
        <v>11</v>
      </c>
      <c r="B8" s="8">
        <v>60.53</v>
      </c>
      <c r="C8" s="8">
        <v>52.63</v>
      </c>
      <c r="D8" s="8">
        <v>53.36</v>
      </c>
      <c r="E8" s="8">
        <v>61.6</v>
      </c>
      <c r="F8" s="5">
        <v>55.01</v>
      </c>
      <c r="G8" s="5">
        <v>55.64</v>
      </c>
      <c r="H8" s="8">
        <v>61.46</v>
      </c>
      <c r="I8" s="5">
        <v>50.34</v>
      </c>
      <c r="J8" s="5">
        <v>50.68</v>
      </c>
      <c r="K8" s="8">
        <v>62.07</v>
      </c>
      <c r="L8" s="8">
        <v>48.82</v>
      </c>
      <c r="M8" s="8">
        <v>49.24</v>
      </c>
      <c r="N8" s="8">
        <v>64.83</v>
      </c>
      <c r="O8" s="8">
        <v>49.54</v>
      </c>
      <c r="P8" s="8">
        <v>50</v>
      </c>
    </row>
    <row r="9" spans="1:23" ht="15.5" x14ac:dyDescent="0.35">
      <c r="A9" s="4" t="s">
        <v>12</v>
      </c>
      <c r="B9" s="8">
        <v>64.98</v>
      </c>
      <c r="C9" s="8">
        <v>54.92</v>
      </c>
      <c r="D9" s="8">
        <v>56.07</v>
      </c>
      <c r="E9" s="8">
        <v>65.28</v>
      </c>
      <c r="F9" s="5">
        <v>55.76</v>
      </c>
      <c r="G9" s="5">
        <v>56.87</v>
      </c>
      <c r="H9" s="8">
        <v>66.25</v>
      </c>
      <c r="I9" s="5">
        <v>53.21</v>
      </c>
      <c r="J9" s="5">
        <v>53.75</v>
      </c>
      <c r="K9" s="8">
        <v>64.75</v>
      </c>
      <c r="L9" s="8">
        <v>54.98</v>
      </c>
      <c r="M9" s="8">
        <v>55.4</v>
      </c>
      <c r="N9" s="8">
        <v>61.02</v>
      </c>
      <c r="O9" s="8">
        <v>55.99</v>
      </c>
      <c r="P9" s="8">
        <v>56.21</v>
      </c>
    </row>
    <row r="10" spans="1:23" ht="15.5" x14ac:dyDescent="0.35">
      <c r="A10" s="4" t="s">
        <v>13</v>
      </c>
      <c r="B10" s="8">
        <v>64.97</v>
      </c>
      <c r="C10" s="8">
        <v>53.61</v>
      </c>
      <c r="D10" s="8">
        <v>54.77</v>
      </c>
      <c r="E10" s="8">
        <v>65.8</v>
      </c>
      <c r="F10" s="5">
        <v>55.88</v>
      </c>
      <c r="G10" s="5">
        <v>56.92</v>
      </c>
      <c r="H10" s="8">
        <v>64.569999999999993</v>
      </c>
      <c r="I10" s="5">
        <v>50.24</v>
      </c>
      <c r="J10" s="5">
        <v>50.72</v>
      </c>
      <c r="K10" s="8">
        <v>65.05</v>
      </c>
      <c r="L10" s="8">
        <v>51.19</v>
      </c>
      <c r="M10" s="8">
        <v>51.63</v>
      </c>
      <c r="N10" s="8">
        <v>64.23</v>
      </c>
      <c r="O10" s="8">
        <v>54.03</v>
      </c>
      <c r="P10" s="8">
        <v>54.36</v>
      </c>
    </row>
    <row r="11" spans="1:23" ht="15.5" x14ac:dyDescent="0.35">
      <c r="A11" s="4" t="s">
        <v>14</v>
      </c>
      <c r="B11" s="8">
        <v>67.849999999999994</v>
      </c>
      <c r="C11" s="8">
        <v>60.15</v>
      </c>
      <c r="D11" s="8">
        <v>60.91</v>
      </c>
      <c r="E11" s="8">
        <v>67.67</v>
      </c>
      <c r="F11" s="5">
        <v>60.68</v>
      </c>
      <c r="G11" s="5">
        <v>61.38</v>
      </c>
      <c r="H11" s="8">
        <v>68.17</v>
      </c>
      <c r="I11" s="5">
        <v>56.28</v>
      </c>
      <c r="J11" s="5">
        <v>56.66</v>
      </c>
      <c r="K11" s="8">
        <v>67.040000000000006</v>
      </c>
      <c r="L11" s="8">
        <v>54.21</v>
      </c>
      <c r="M11" s="8">
        <v>54.61</v>
      </c>
      <c r="N11" s="8">
        <v>70.569999999999993</v>
      </c>
      <c r="O11" s="8">
        <v>56.94</v>
      </c>
      <c r="P11" s="8">
        <v>57.37</v>
      </c>
    </row>
    <row r="12" spans="1:23" ht="15.5" x14ac:dyDescent="0.35">
      <c r="A12" s="4" t="s">
        <v>15</v>
      </c>
      <c r="B12" s="8">
        <v>71.180000000000007</v>
      </c>
      <c r="C12" s="8">
        <v>59.68</v>
      </c>
      <c r="D12" s="8">
        <v>60.84</v>
      </c>
      <c r="E12" s="8">
        <v>67.25</v>
      </c>
      <c r="F12" s="5">
        <v>58.4</v>
      </c>
      <c r="G12" s="5">
        <v>59.32</v>
      </c>
      <c r="H12" s="8">
        <v>68.33</v>
      </c>
      <c r="I12" s="5">
        <v>57.62</v>
      </c>
      <c r="J12" s="5">
        <v>58.05</v>
      </c>
      <c r="K12" s="8">
        <v>66.790000000000006</v>
      </c>
      <c r="L12" s="8">
        <v>53.53</v>
      </c>
      <c r="M12" s="8">
        <v>54.01</v>
      </c>
      <c r="N12" s="8">
        <v>65.34</v>
      </c>
      <c r="O12" s="8">
        <v>54.52</v>
      </c>
      <c r="P12" s="8">
        <v>54.92</v>
      </c>
    </row>
    <row r="13" spans="1:23" ht="15.5" x14ac:dyDescent="0.35">
      <c r="A13" s="4" t="s">
        <v>16</v>
      </c>
      <c r="B13" s="8">
        <v>61.89</v>
      </c>
      <c r="C13" s="8">
        <v>54.39</v>
      </c>
      <c r="D13" s="8">
        <v>54.99</v>
      </c>
      <c r="E13" s="8">
        <v>62.3</v>
      </c>
      <c r="F13" s="5">
        <v>53.59</v>
      </c>
      <c r="G13" s="5">
        <v>54.29</v>
      </c>
      <c r="H13" s="8">
        <v>62.94</v>
      </c>
      <c r="I13" s="5">
        <v>51.58</v>
      </c>
      <c r="J13" s="5">
        <v>51.9</v>
      </c>
      <c r="K13" s="8">
        <v>57.14</v>
      </c>
      <c r="L13" s="8">
        <v>49.12</v>
      </c>
      <c r="M13" s="8">
        <v>49.3</v>
      </c>
      <c r="N13" s="8">
        <v>62.48</v>
      </c>
      <c r="O13" s="8">
        <v>52.1</v>
      </c>
      <c r="P13" s="8">
        <v>52.37</v>
      </c>
    </row>
    <row r="14" spans="1:23" ht="15.5" x14ac:dyDescent="0.35">
      <c r="A14" s="4" t="s">
        <v>17</v>
      </c>
      <c r="B14" s="8">
        <v>70.19</v>
      </c>
      <c r="C14" s="8">
        <v>60.37</v>
      </c>
      <c r="D14" s="8">
        <v>61.76</v>
      </c>
      <c r="E14" s="8">
        <v>69.099999999999994</v>
      </c>
      <c r="F14" s="5">
        <v>60.16</v>
      </c>
      <c r="G14" s="5">
        <v>61.47</v>
      </c>
      <c r="H14" s="8">
        <v>67.34</v>
      </c>
      <c r="I14" s="5">
        <v>51.65</v>
      </c>
      <c r="J14" s="5">
        <v>52.5</v>
      </c>
      <c r="K14" s="8">
        <v>65.84</v>
      </c>
      <c r="L14" s="8">
        <v>52.88</v>
      </c>
      <c r="M14" s="8">
        <v>53.56</v>
      </c>
      <c r="N14" s="8">
        <v>67.14</v>
      </c>
      <c r="O14" s="8">
        <v>56.82</v>
      </c>
      <c r="P14" s="8">
        <v>57.37</v>
      </c>
    </row>
    <row r="15" spans="1:23" ht="15.5" x14ac:dyDescent="0.35">
      <c r="A15" s="4" t="s">
        <v>18</v>
      </c>
      <c r="B15" s="8">
        <v>71.209999999999994</v>
      </c>
      <c r="C15" s="8">
        <v>60.58</v>
      </c>
      <c r="D15" s="8">
        <v>61.88</v>
      </c>
      <c r="E15" s="8">
        <v>69.78</v>
      </c>
      <c r="F15" s="5">
        <v>61.12</v>
      </c>
      <c r="G15" s="5">
        <v>62.22</v>
      </c>
      <c r="H15" s="8">
        <v>64.959999999999994</v>
      </c>
      <c r="I15" s="5">
        <v>57.3</v>
      </c>
      <c r="J15" s="5">
        <v>57.7</v>
      </c>
      <c r="K15" s="8">
        <v>69.2</v>
      </c>
      <c r="L15" s="8">
        <v>53.97</v>
      </c>
      <c r="M15" s="8">
        <v>54.76</v>
      </c>
      <c r="N15" s="8">
        <v>64.39</v>
      </c>
      <c r="O15" s="8">
        <v>51.26</v>
      </c>
      <c r="P15" s="8">
        <v>51.83</v>
      </c>
    </row>
    <row r="16" spans="1:23" ht="15.5" x14ac:dyDescent="0.35">
      <c r="A16" s="4" t="s">
        <v>19</v>
      </c>
      <c r="B16" s="8">
        <v>69.02</v>
      </c>
      <c r="C16" s="8">
        <v>60.71</v>
      </c>
      <c r="D16" s="8">
        <v>62.26</v>
      </c>
      <c r="E16" s="8">
        <v>65.48</v>
      </c>
      <c r="F16" s="5">
        <v>60.08</v>
      </c>
      <c r="G16" s="5">
        <v>61.1</v>
      </c>
      <c r="H16" s="8">
        <v>65.400000000000006</v>
      </c>
      <c r="I16" s="5">
        <v>59.56</v>
      </c>
      <c r="J16" s="5">
        <v>60.06</v>
      </c>
      <c r="K16" s="8">
        <v>63.1</v>
      </c>
      <c r="L16" s="8">
        <v>55.76</v>
      </c>
      <c r="M16" s="8">
        <v>56.31</v>
      </c>
      <c r="N16" s="8">
        <v>64.959999999999994</v>
      </c>
      <c r="O16" s="8">
        <v>55.52</v>
      </c>
      <c r="P16" s="8">
        <v>56.19</v>
      </c>
    </row>
    <row r="17" spans="1:16" ht="15.5" x14ac:dyDescent="0.35">
      <c r="A17" s="4" t="s">
        <v>20</v>
      </c>
      <c r="B17" s="8">
        <v>69.95</v>
      </c>
      <c r="C17" s="8">
        <v>57.36</v>
      </c>
      <c r="D17" s="8">
        <v>58.53</v>
      </c>
      <c r="E17" s="8">
        <v>66.05</v>
      </c>
      <c r="F17" s="5">
        <v>61.12</v>
      </c>
      <c r="G17" s="5">
        <v>61.6</v>
      </c>
      <c r="H17" s="8">
        <v>66.59</v>
      </c>
      <c r="I17" s="5">
        <v>56.65</v>
      </c>
      <c r="J17" s="5">
        <v>56.99</v>
      </c>
      <c r="K17" s="8">
        <v>68.28</v>
      </c>
      <c r="L17" s="8">
        <v>53.07</v>
      </c>
      <c r="M17" s="8">
        <v>53.56</v>
      </c>
      <c r="N17" s="8">
        <v>67.19</v>
      </c>
      <c r="O17" s="8">
        <v>55.13</v>
      </c>
      <c r="P17" s="8">
        <v>55.52</v>
      </c>
    </row>
    <row r="18" spans="1:16" ht="15.5" x14ac:dyDescent="0.35">
      <c r="A18" s="4" t="s">
        <v>21</v>
      </c>
      <c r="B18" s="8">
        <v>62.94</v>
      </c>
      <c r="C18" s="8">
        <v>48.81</v>
      </c>
      <c r="D18" s="8">
        <v>49.6</v>
      </c>
      <c r="E18" s="8">
        <v>60.04</v>
      </c>
      <c r="F18" s="5">
        <v>49.12</v>
      </c>
      <c r="G18" s="5">
        <v>49.76</v>
      </c>
      <c r="H18" s="8">
        <v>56.55</v>
      </c>
      <c r="I18" s="5">
        <v>44.55</v>
      </c>
      <c r="J18" s="5">
        <v>44.73</v>
      </c>
      <c r="K18" s="8">
        <v>53.69</v>
      </c>
      <c r="L18" s="8">
        <v>42.3</v>
      </c>
      <c r="M18" s="8">
        <v>42.47</v>
      </c>
      <c r="N18" s="8">
        <v>61.74</v>
      </c>
      <c r="O18" s="8">
        <v>44.78</v>
      </c>
      <c r="P18" s="8">
        <v>45.01</v>
      </c>
    </row>
    <row r="19" spans="1:16" ht="15.5" x14ac:dyDescent="0.35">
      <c r="A19" s="4" t="s">
        <v>22</v>
      </c>
      <c r="B19" s="8">
        <v>67.86</v>
      </c>
      <c r="C19" s="8">
        <v>55.2</v>
      </c>
      <c r="D19" s="8">
        <v>56.54</v>
      </c>
      <c r="E19" s="8">
        <v>64.77</v>
      </c>
      <c r="F19" s="5">
        <v>57.88</v>
      </c>
      <c r="G19" s="5">
        <v>58.61</v>
      </c>
      <c r="H19" s="8">
        <v>60.96</v>
      </c>
      <c r="I19" s="5">
        <v>53.01</v>
      </c>
      <c r="J19" s="5">
        <v>53.29</v>
      </c>
      <c r="K19" s="8">
        <v>62.8</v>
      </c>
      <c r="L19" s="8">
        <v>54.28</v>
      </c>
      <c r="M19" s="8">
        <v>54.57</v>
      </c>
      <c r="N19" s="8">
        <v>65.069999999999993</v>
      </c>
      <c r="O19" s="8">
        <v>51.03</v>
      </c>
      <c r="P19" s="8">
        <v>51.53</v>
      </c>
    </row>
    <row r="20" spans="1:16" ht="15.5" x14ac:dyDescent="0.35">
      <c r="A20" s="4" t="s">
        <v>23</v>
      </c>
      <c r="B20" s="8">
        <v>67.650000000000006</v>
      </c>
      <c r="C20" s="8">
        <v>55.81</v>
      </c>
      <c r="D20" s="8">
        <v>56.99</v>
      </c>
      <c r="E20" s="8">
        <v>64.709999999999994</v>
      </c>
      <c r="F20" s="5">
        <v>57.18</v>
      </c>
      <c r="G20" s="5">
        <v>57.93</v>
      </c>
      <c r="H20" s="8">
        <v>63.29</v>
      </c>
      <c r="I20" s="5">
        <v>55.66</v>
      </c>
      <c r="J20" s="5">
        <v>55.94</v>
      </c>
      <c r="K20" s="8">
        <v>60.41</v>
      </c>
      <c r="L20" s="8">
        <v>52.39</v>
      </c>
      <c r="M20" s="8">
        <v>52.67</v>
      </c>
      <c r="N20" s="8">
        <v>66.489999999999995</v>
      </c>
      <c r="O20" s="8">
        <v>55.06</v>
      </c>
      <c r="P20" s="8">
        <v>55.49</v>
      </c>
    </row>
    <row r="21" spans="1:16" ht="15.5" x14ac:dyDescent="0.35">
      <c r="A21" s="4" t="s">
        <v>24</v>
      </c>
      <c r="B21" s="8">
        <v>66.97</v>
      </c>
      <c r="C21" s="8">
        <v>59.52</v>
      </c>
      <c r="D21" s="8">
        <v>60.39</v>
      </c>
      <c r="E21" s="8">
        <v>68.53</v>
      </c>
      <c r="F21" s="5">
        <v>59.32</v>
      </c>
      <c r="G21" s="5">
        <v>60.41</v>
      </c>
      <c r="H21" s="8">
        <v>65.989999999999995</v>
      </c>
      <c r="I21" s="5">
        <v>53.85</v>
      </c>
      <c r="J21" s="5">
        <v>54.42</v>
      </c>
      <c r="K21" s="8">
        <v>59.2</v>
      </c>
      <c r="L21" s="8">
        <v>52.39</v>
      </c>
      <c r="M21" s="8">
        <v>52.69</v>
      </c>
      <c r="N21" s="8">
        <v>68.709999999999994</v>
      </c>
      <c r="O21" s="8">
        <v>54.12</v>
      </c>
      <c r="P21" s="8">
        <v>54.85</v>
      </c>
    </row>
    <row r="22" spans="1:16" ht="15.5" x14ac:dyDescent="0.35">
      <c r="A22" s="4" t="s">
        <v>25</v>
      </c>
      <c r="B22" s="8">
        <v>64.63</v>
      </c>
      <c r="C22" s="8">
        <v>53.78</v>
      </c>
      <c r="D22" s="8">
        <v>55.03</v>
      </c>
      <c r="E22" s="8">
        <v>64.150000000000006</v>
      </c>
      <c r="F22" s="5">
        <v>56.5</v>
      </c>
      <c r="G22" s="5">
        <v>57.41</v>
      </c>
      <c r="H22" s="8">
        <v>60.98</v>
      </c>
      <c r="I22" s="5">
        <v>50.96</v>
      </c>
      <c r="J22" s="5">
        <v>51.35</v>
      </c>
      <c r="K22" s="8">
        <v>63.46</v>
      </c>
      <c r="L22" s="8">
        <v>51.85</v>
      </c>
      <c r="M22" s="8">
        <v>52.32</v>
      </c>
      <c r="N22" s="8">
        <v>64.03</v>
      </c>
      <c r="O22" s="8">
        <v>53.8</v>
      </c>
      <c r="P22" s="8">
        <v>54.25</v>
      </c>
    </row>
    <row r="23" spans="1:16" ht="15.5" x14ac:dyDescent="0.35">
      <c r="A23" s="4" t="s">
        <v>26</v>
      </c>
      <c r="B23" s="8">
        <v>63.64</v>
      </c>
      <c r="C23" s="8">
        <v>53.48</v>
      </c>
      <c r="D23" s="8">
        <v>54.53</v>
      </c>
      <c r="E23" s="8">
        <v>66.86</v>
      </c>
      <c r="F23" s="5">
        <v>56.61</v>
      </c>
      <c r="G23" s="5">
        <v>57.7</v>
      </c>
      <c r="H23" s="8">
        <v>61.81</v>
      </c>
      <c r="I23" s="5">
        <v>52.19</v>
      </c>
      <c r="J23" s="5">
        <v>52.52</v>
      </c>
      <c r="K23" s="8">
        <v>59.82</v>
      </c>
      <c r="L23" s="8">
        <v>47.47</v>
      </c>
      <c r="M23" s="8">
        <v>47.9</v>
      </c>
      <c r="N23" s="8">
        <v>62.21</v>
      </c>
      <c r="O23" s="8">
        <v>49.81</v>
      </c>
      <c r="P23" s="8">
        <v>50.2</v>
      </c>
    </row>
    <row r="24" spans="1:16" ht="15.5" x14ac:dyDescent="0.35">
      <c r="A24" s="4" t="s">
        <v>27</v>
      </c>
      <c r="B24" s="8">
        <v>66.81</v>
      </c>
      <c r="C24" s="8">
        <v>56.17</v>
      </c>
      <c r="D24" s="8">
        <v>57.81</v>
      </c>
      <c r="E24" s="8">
        <v>65.58</v>
      </c>
      <c r="F24" s="5">
        <v>57.2</v>
      </c>
      <c r="G24" s="5">
        <v>58.5</v>
      </c>
      <c r="H24" s="8">
        <v>62.79</v>
      </c>
      <c r="I24" s="5">
        <v>53.23</v>
      </c>
      <c r="J24" s="5">
        <v>53.84</v>
      </c>
      <c r="K24" s="8">
        <v>62.2</v>
      </c>
      <c r="L24" s="8">
        <v>54.84</v>
      </c>
      <c r="M24" s="8">
        <v>55.27</v>
      </c>
      <c r="N24" s="8">
        <v>66.36</v>
      </c>
      <c r="O24" s="8">
        <v>57.52</v>
      </c>
      <c r="P24" s="8">
        <v>58.06</v>
      </c>
    </row>
    <row r="25" spans="1:16" ht="15.5" x14ac:dyDescent="0.35">
      <c r="A25" s="4" t="s">
        <v>28</v>
      </c>
      <c r="B25" s="8">
        <v>67.91</v>
      </c>
      <c r="C25" s="8">
        <v>56.85</v>
      </c>
      <c r="D25" s="8">
        <v>58.27</v>
      </c>
      <c r="E25" s="8">
        <v>64.010000000000005</v>
      </c>
      <c r="F25" s="5">
        <v>56.95</v>
      </c>
      <c r="G25" s="5">
        <v>57.89</v>
      </c>
      <c r="H25" s="8">
        <v>64.36</v>
      </c>
      <c r="I25" s="5">
        <v>55.8</v>
      </c>
      <c r="J25" s="5">
        <v>56.27</v>
      </c>
      <c r="K25" s="8">
        <v>62.66</v>
      </c>
      <c r="L25" s="8">
        <v>55.36</v>
      </c>
      <c r="M25" s="8">
        <v>55.75</v>
      </c>
      <c r="N25" s="8">
        <v>63.24</v>
      </c>
      <c r="O25" s="8">
        <v>53.16</v>
      </c>
      <c r="P25" s="8">
        <v>53.63</v>
      </c>
    </row>
    <row r="26" spans="1:16" ht="15.5" x14ac:dyDescent="0.35">
      <c r="A26" s="4" t="s">
        <v>29</v>
      </c>
      <c r="B26" s="8">
        <v>66.52</v>
      </c>
      <c r="C26" s="8">
        <v>57.43</v>
      </c>
      <c r="D26" s="8">
        <v>58.88</v>
      </c>
      <c r="E26" s="8">
        <v>64.069999999999993</v>
      </c>
      <c r="F26" s="5">
        <v>56.7</v>
      </c>
      <c r="G26" s="5">
        <v>57.9</v>
      </c>
      <c r="H26" s="8">
        <v>65.67</v>
      </c>
      <c r="I26" s="5">
        <v>52.38</v>
      </c>
      <c r="J26" s="5">
        <v>53.15</v>
      </c>
      <c r="K26" s="8">
        <v>62.45</v>
      </c>
      <c r="L26" s="8">
        <v>53.3</v>
      </c>
      <c r="M26" s="8">
        <v>53.87</v>
      </c>
      <c r="N26" s="8">
        <v>63.28</v>
      </c>
      <c r="O26" s="8">
        <v>52.85</v>
      </c>
      <c r="P26" s="8">
        <v>53.49</v>
      </c>
    </row>
    <row r="27" spans="1:16" ht="15.5" x14ac:dyDescent="0.35">
      <c r="A27" s="4" t="s">
        <v>30</v>
      </c>
      <c r="B27" s="8">
        <v>63.23</v>
      </c>
      <c r="C27" s="8">
        <v>56.27</v>
      </c>
      <c r="D27" s="8">
        <v>57.23</v>
      </c>
      <c r="E27" s="8">
        <v>64.45</v>
      </c>
      <c r="F27" s="5">
        <v>55.95</v>
      </c>
      <c r="G27" s="5">
        <v>57.12</v>
      </c>
      <c r="H27" s="8">
        <v>63.15</v>
      </c>
      <c r="I27" s="5">
        <v>55.54</v>
      </c>
      <c r="J27" s="5">
        <v>55.94</v>
      </c>
      <c r="K27" s="8">
        <v>61.94</v>
      </c>
      <c r="L27" s="8">
        <v>53.4</v>
      </c>
      <c r="M27" s="8">
        <v>53.85</v>
      </c>
      <c r="N27" s="8">
        <v>65.34</v>
      </c>
      <c r="O27" s="8">
        <v>52.92</v>
      </c>
      <c r="P27" s="8">
        <v>53.57</v>
      </c>
    </row>
    <row r="28" spans="1:16" ht="15.5" x14ac:dyDescent="0.35">
      <c r="A28" s="4" t="s">
        <v>31</v>
      </c>
      <c r="B28" s="8">
        <v>57.77</v>
      </c>
      <c r="C28" s="8">
        <v>49.75</v>
      </c>
      <c r="D28" s="8">
        <v>50.74</v>
      </c>
      <c r="E28" s="8">
        <v>61.35</v>
      </c>
      <c r="F28" s="5">
        <v>54.06</v>
      </c>
      <c r="G28" s="5">
        <v>54.97</v>
      </c>
      <c r="H28" s="8">
        <v>64.03</v>
      </c>
      <c r="I28" s="5">
        <v>49.78</v>
      </c>
      <c r="J28" s="5">
        <v>50.27</v>
      </c>
      <c r="K28" s="8">
        <v>55.66</v>
      </c>
      <c r="L28" s="8">
        <v>49.48</v>
      </c>
      <c r="M28" s="8">
        <v>49.74</v>
      </c>
      <c r="N28" s="8">
        <v>56.41</v>
      </c>
      <c r="O28" s="8">
        <v>48.73</v>
      </c>
      <c r="P28" s="8">
        <v>49.02</v>
      </c>
    </row>
    <row r="29" spans="1:16" ht="15.5" x14ac:dyDescent="0.35">
      <c r="A29" s="4" t="s">
        <v>32</v>
      </c>
      <c r="B29" s="8">
        <v>69.39</v>
      </c>
      <c r="C29" s="8">
        <v>62.82</v>
      </c>
      <c r="D29" s="8">
        <v>64.17</v>
      </c>
      <c r="E29" s="8">
        <v>70.53</v>
      </c>
      <c r="F29" s="5">
        <v>65.89</v>
      </c>
      <c r="G29" s="5">
        <v>66.89</v>
      </c>
      <c r="H29" s="8">
        <v>71.8</v>
      </c>
      <c r="I29" s="5">
        <v>64.099999999999994</v>
      </c>
      <c r="J29" s="5">
        <v>64.77</v>
      </c>
      <c r="K29" s="8">
        <v>66.569999999999993</v>
      </c>
      <c r="L29" s="8">
        <v>62.14</v>
      </c>
      <c r="M29" s="8">
        <v>62.52</v>
      </c>
      <c r="N29" s="8">
        <v>67.150000000000006</v>
      </c>
      <c r="O29" s="8">
        <v>63.17</v>
      </c>
      <c r="P29" s="8">
        <v>63.52</v>
      </c>
    </row>
    <row r="30" spans="1:16" ht="15.5" x14ac:dyDescent="0.35">
      <c r="A30" s="4" t="s">
        <v>33</v>
      </c>
      <c r="B30" s="8">
        <v>72.84</v>
      </c>
      <c r="C30" s="8">
        <v>65.09</v>
      </c>
      <c r="D30" s="8">
        <v>66.86</v>
      </c>
      <c r="E30" s="8">
        <v>70.8</v>
      </c>
      <c r="F30" s="5">
        <v>64.59</v>
      </c>
      <c r="G30" s="5">
        <v>66.069999999999993</v>
      </c>
      <c r="H30" s="8">
        <v>68.790000000000006</v>
      </c>
      <c r="I30" s="5">
        <v>59.63</v>
      </c>
      <c r="J30" s="5">
        <v>60.67</v>
      </c>
      <c r="K30" s="8">
        <v>63.7</v>
      </c>
      <c r="L30" s="8">
        <v>61.36</v>
      </c>
      <c r="M30" s="8">
        <v>61.64</v>
      </c>
      <c r="N30" s="8">
        <v>64.66</v>
      </c>
      <c r="O30" s="8">
        <v>60.66</v>
      </c>
      <c r="P30" s="8">
        <v>61.14</v>
      </c>
    </row>
    <row r="31" spans="1:16" ht="15.5" x14ac:dyDescent="0.35">
      <c r="A31" s="4" t="s">
        <v>34</v>
      </c>
      <c r="B31" s="8">
        <v>69.98</v>
      </c>
      <c r="C31" s="8">
        <v>60.77</v>
      </c>
      <c r="D31" s="8">
        <v>62.11</v>
      </c>
      <c r="E31" s="8">
        <v>65.14</v>
      </c>
      <c r="F31" s="5">
        <v>61.57</v>
      </c>
      <c r="G31" s="5">
        <v>62.12</v>
      </c>
      <c r="H31" s="8">
        <v>68.61</v>
      </c>
      <c r="I31" s="5">
        <v>59.64</v>
      </c>
      <c r="J31" s="5">
        <v>60.16</v>
      </c>
      <c r="K31" s="8">
        <v>62.69</v>
      </c>
      <c r="L31" s="8">
        <v>56.04</v>
      </c>
      <c r="M31" s="8">
        <v>56.43</v>
      </c>
      <c r="N31" s="8">
        <v>65.69</v>
      </c>
      <c r="O31" s="8">
        <v>57.79</v>
      </c>
      <c r="P31" s="8">
        <v>58.3</v>
      </c>
    </row>
    <row r="32" spans="1:16" ht="15.5" x14ac:dyDescent="0.35">
      <c r="A32" s="4" t="s">
        <v>35</v>
      </c>
      <c r="B32" s="8">
        <v>69.239999999999995</v>
      </c>
      <c r="C32" s="8">
        <v>63.16</v>
      </c>
      <c r="D32" s="8">
        <v>64.39</v>
      </c>
      <c r="E32" s="8">
        <v>70.150000000000006</v>
      </c>
      <c r="F32" s="5">
        <v>63.18</v>
      </c>
      <c r="G32" s="5">
        <v>64.61</v>
      </c>
      <c r="H32" s="8">
        <v>70.83</v>
      </c>
      <c r="I32" s="5">
        <v>64.84</v>
      </c>
      <c r="J32" s="5">
        <v>65.38</v>
      </c>
      <c r="K32" s="8">
        <v>66.400000000000006</v>
      </c>
      <c r="L32" s="8">
        <v>62.03</v>
      </c>
      <c r="M32" s="8">
        <v>62.38</v>
      </c>
      <c r="N32" s="8">
        <v>64.39</v>
      </c>
      <c r="O32" s="8">
        <v>58.18</v>
      </c>
      <c r="P32" s="8">
        <v>58.62</v>
      </c>
    </row>
    <row r="33" spans="1:16" ht="15.5" x14ac:dyDescent="0.35">
      <c r="A33" s="4" t="s">
        <v>36</v>
      </c>
      <c r="B33" s="8">
        <v>61.57</v>
      </c>
      <c r="C33" s="8">
        <v>50.55</v>
      </c>
      <c r="D33" s="8">
        <v>51.4</v>
      </c>
      <c r="E33" s="8">
        <v>61.46</v>
      </c>
      <c r="F33" s="5">
        <v>48.94</v>
      </c>
      <c r="G33" s="5">
        <v>49.91</v>
      </c>
      <c r="H33" s="8">
        <v>63.6</v>
      </c>
      <c r="I33" s="5">
        <v>45.07</v>
      </c>
      <c r="J33" s="5">
        <v>45.51</v>
      </c>
      <c r="K33" s="8">
        <v>55.35</v>
      </c>
      <c r="L33" s="8">
        <v>40.92</v>
      </c>
      <c r="M33" s="8">
        <v>41.25</v>
      </c>
      <c r="N33" s="8">
        <v>61.9</v>
      </c>
      <c r="O33" s="8">
        <v>46.9</v>
      </c>
      <c r="P33" s="8">
        <v>47.22</v>
      </c>
    </row>
    <row r="34" spans="1:16" ht="15.5" x14ac:dyDescent="0.35">
      <c r="A34" s="4" t="s">
        <v>37</v>
      </c>
      <c r="B34" s="8">
        <v>64.430000000000007</v>
      </c>
      <c r="C34" s="8">
        <v>49.1</v>
      </c>
      <c r="D34" s="8">
        <v>50.3</v>
      </c>
      <c r="E34" s="8">
        <v>59.86</v>
      </c>
      <c r="F34" s="5">
        <v>49.21</v>
      </c>
      <c r="G34" s="5">
        <v>50.05</v>
      </c>
      <c r="H34" s="8">
        <v>56.16</v>
      </c>
      <c r="I34" s="5">
        <v>42.4</v>
      </c>
      <c r="J34" s="5">
        <v>42.74</v>
      </c>
      <c r="K34" s="8">
        <v>57.44</v>
      </c>
      <c r="L34" s="8">
        <v>43.02</v>
      </c>
      <c r="M34" s="8">
        <v>43.38</v>
      </c>
      <c r="N34" s="8">
        <v>63.34</v>
      </c>
      <c r="O34" s="8">
        <v>47.01</v>
      </c>
      <c r="P34" s="8">
        <v>47.4</v>
      </c>
    </row>
    <row r="35" spans="1:16" ht="15.5" x14ac:dyDescent="0.35">
      <c r="A35" s="4" t="s">
        <v>38</v>
      </c>
      <c r="B35" s="8">
        <v>60.72</v>
      </c>
      <c r="C35" s="8">
        <v>44.89</v>
      </c>
      <c r="D35" s="8">
        <v>45.6</v>
      </c>
      <c r="E35" s="8">
        <v>56.68</v>
      </c>
      <c r="F35" s="5">
        <v>45.48</v>
      </c>
      <c r="G35" s="5">
        <v>45.99</v>
      </c>
      <c r="H35" s="8">
        <v>56.5</v>
      </c>
      <c r="I35" s="5">
        <v>37.909999999999997</v>
      </c>
      <c r="J35" s="5">
        <v>38.07</v>
      </c>
      <c r="K35" s="8">
        <v>58.16</v>
      </c>
      <c r="L35" s="8">
        <v>37.1</v>
      </c>
      <c r="M35" s="8">
        <v>37.340000000000003</v>
      </c>
      <c r="N35" s="8">
        <v>51.12</v>
      </c>
      <c r="O35" s="8">
        <v>37.659999999999997</v>
      </c>
      <c r="P35" s="8">
        <v>37.79</v>
      </c>
    </row>
    <row r="36" spans="1:16" ht="15.5" x14ac:dyDescent="0.35">
      <c r="A36" s="4" t="s">
        <v>39</v>
      </c>
      <c r="B36" s="8">
        <v>61.72</v>
      </c>
      <c r="C36" s="8">
        <v>46.65</v>
      </c>
      <c r="D36" s="8">
        <v>47.77</v>
      </c>
      <c r="E36" s="8">
        <v>62.82</v>
      </c>
      <c r="F36" s="5">
        <v>45.26</v>
      </c>
      <c r="G36" s="5">
        <v>46.56</v>
      </c>
      <c r="H36" s="8">
        <v>52.19</v>
      </c>
      <c r="I36" s="5">
        <v>40.700000000000003</v>
      </c>
      <c r="J36" s="5">
        <v>40.97</v>
      </c>
      <c r="K36" s="8">
        <v>56.54</v>
      </c>
      <c r="L36" s="8">
        <v>39.299999999999997</v>
      </c>
      <c r="M36" s="8">
        <v>39.69</v>
      </c>
      <c r="N36" s="8">
        <v>55.82</v>
      </c>
      <c r="O36" s="8">
        <v>40.79</v>
      </c>
      <c r="P36" s="8">
        <v>41.11</v>
      </c>
    </row>
    <row r="37" spans="1:16" ht="15.5" x14ac:dyDescent="0.35">
      <c r="A37" s="4" t="s">
        <v>40</v>
      </c>
      <c r="B37" s="8">
        <v>70.2</v>
      </c>
      <c r="C37" s="8">
        <v>57.26</v>
      </c>
      <c r="D37" s="8">
        <v>58.12</v>
      </c>
      <c r="E37" s="8">
        <v>65.41</v>
      </c>
      <c r="F37" s="5">
        <v>54.34</v>
      </c>
      <c r="G37" s="5">
        <v>55.1</v>
      </c>
      <c r="H37" s="8">
        <v>62.21</v>
      </c>
      <c r="I37" s="5">
        <v>48.18</v>
      </c>
      <c r="J37" s="5">
        <v>48.47</v>
      </c>
      <c r="K37" s="8">
        <v>59.92</v>
      </c>
      <c r="L37" s="8">
        <v>48.5</v>
      </c>
      <c r="M37" s="8">
        <v>48.73</v>
      </c>
      <c r="N37" s="8">
        <v>65.88</v>
      </c>
      <c r="O37" s="8">
        <v>51.19</v>
      </c>
      <c r="P37" s="8">
        <v>51.52</v>
      </c>
    </row>
    <row r="38" spans="1:16" ht="15.5" x14ac:dyDescent="0.35">
      <c r="A38" s="4" t="s">
        <v>41</v>
      </c>
      <c r="B38" s="8">
        <v>61.77</v>
      </c>
      <c r="C38" s="8">
        <v>50.5</v>
      </c>
      <c r="D38" s="8">
        <v>51.2</v>
      </c>
      <c r="E38" s="8">
        <v>61.17</v>
      </c>
      <c r="F38" s="5">
        <v>49.43</v>
      </c>
      <c r="G38" s="5">
        <v>50.18</v>
      </c>
      <c r="H38" s="8">
        <v>60.38</v>
      </c>
      <c r="I38" s="5">
        <v>43.84</v>
      </c>
      <c r="J38" s="5">
        <v>44.12</v>
      </c>
      <c r="K38" s="8">
        <v>57.06</v>
      </c>
      <c r="L38" s="8">
        <v>44.58</v>
      </c>
      <c r="M38" s="8">
        <v>44.83</v>
      </c>
      <c r="N38" s="8">
        <v>59.41</v>
      </c>
      <c r="O38" s="8">
        <v>44.85</v>
      </c>
      <c r="P38" s="8">
        <v>45.12</v>
      </c>
    </row>
    <row r="39" spans="1:16" ht="15.5" x14ac:dyDescent="0.35">
      <c r="A39" s="4" t="s">
        <v>42</v>
      </c>
      <c r="B39" s="8">
        <v>64.099999999999994</v>
      </c>
      <c r="C39" s="8">
        <v>48.24</v>
      </c>
      <c r="D39" s="8">
        <v>49.02</v>
      </c>
      <c r="E39" s="8">
        <v>58.86</v>
      </c>
      <c r="F39" s="5">
        <v>47.89</v>
      </c>
      <c r="G39" s="5">
        <v>48.45</v>
      </c>
      <c r="H39" s="8">
        <v>60.38</v>
      </c>
      <c r="I39" s="5">
        <v>43.27</v>
      </c>
      <c r="J39" s="5">
        <v>43.49</v>
      </c>
      <c r="K39" s="8">
        <v>54.35</v>
      </c>
      <c r="L39" s="8">
        <v>41.47</v>
      </c>
      <c r="M39" s="8">
        <v>41.63</v>
      </c>
      <c r="N39" s="8">
        <v>58.51</v>
      </c>
      <c r="O39" s="8">
        <v>41.49</v>
      </c>
      <c r="P39" s="8">
        <v>41.67</v>
      </c>
    </row>
    <row r="40" spans="1:16" ht="15.5" x14ac:dyDescent="0.35">
      <c r="A40" s="4" t="s">
        <v>43</v>
      </c>
      <c r="B40" s="8">
        <v>66.34</v>
      </c>
      <c r="C40" s="8">
        <v>48.05</v>
      </c>
      <c r="D40" s="8">
        <v>48.96</v>
      </c>
      <c r="E40" s="8">
        <v>65.05</v>
      </c>
      <c r="F40" s="5">
        <v>47.48</v>
      </c>
      <c r="G40" s="5">
        <v>48.4</v>
      </c>
      <c r="H40" s="8">
        <v>62</v>
      </c>
      <c r="I40" s="5">
        <v>41.33</v>
      </c>
      <c r="J40" s="5">
        <v>41.6</v>
      </c>
      <c r="K40" s="8">
        <v>55.98</v>
      </c>
      <c r="L40" s="8">
        <v>38.6</v>
      </c>
      <c r="M40" s="8">
        <v>38.79</v>
      </c>
      <c r="N40" s="8">
        <v>60.37</v>
      </c>
      <c r="O40" s="8">
        <v>40.58</v>
      </c>
      <c r="P40" s="8">
        <v>40.79</v>
      </c>
    </row>
    <row r="41" spans="1:16" ht="15.5" x14ac:dyDescent="0.35">
      <c r="A41" s="4" t="s">
        <v>44</v>
      </c>
      <c r="B41" s="8">
        <v>63.53</v>
      </c>
      <c r="C41" s="8">
        <v>49.74</v>
      </c>
      <c r="D41" s="8">
        <v>50.28</v>
      </c>
      <c r="E41" s="8">
        <v>57.94</v>
      </c>
      <c r="F41" s="5">
        <v>48.75</v>
      </c>
      <c r="G41" s="5">
        <v>49.12</v>
      </c>
      <c r="H41" s="8">
        <v>55.9</v>
      </c>
      <c r="I41" s="5">
        <v>47.12</v>
      </c>
      <c r="J41" s="5">
        <v>47.22</v>
      </c>
      <c r="K41" s="8">
        <v>56.65</v>
      </c>
      <c r="L41" s="8">
        <v>45.1</v>
      </c>
      <c r="M41" s="8">
        <v>45.24</v>
      </c>
      <c r="N41" s="8">
        <v>57.7</v>
      </c>
      <c r="O41" s="8">
        <v>44.1</v>
      </c>
      <c r="P41" s="8">
        <v>44.23</v>
      </c>
    </row>
    <row r="42" spans="1:16" ht="15.5" x14ac:dyDescent="0.35">
      <c r="A42" s="4"/>
      <c r="B42" s="8"/>
      <c r="C42" s="8"/>
      <c r="D42" s="8"/>
      <c r="E42" s="8"/>
      <c r="F42" s="5"/>
      <c r="G42" s="5"/>
      <c r="H42" s="8"/>
      <c r="I42" s="5"/>
      <c r="J42" s="5"/>
      <c r="K42" s="8"/>
      <c r="L42" s="8"/>
      <c r="M42" s="8"/>
      <c r="N42" s="8"/>
      <c r="O42" s="8"/>
      <c r="P42" s="8"/>
    </row>
    <row r="43" spans="1:16" ht="15.5" x14ac:dyDescent="0.35">
      <c r="K43" s="8"/>
      <c r="L43" s="8"/>
      <c r="M43" s="8"/>
    </row>
    <row r="44" spans="1:16" ht="15.5" x14ac:dyDescent="0.35">
      <c r="K44" s="8"/>
      <c r="L44" s="8"/>
      <c r="M44" s="8"/>
    </row>
    <row r="45" spans="1:16" ht="15.5" x14ac:dyDescent="0.35">
      <c r="K45" s="8"/>
      <c r="L45" s="8"/>
      <c r="M45" s="8"/>
    </row>
    <row r="46" spans="1:16" ht="15.5" x14ac:dyDescent="0.35">
      <c r="K46" s="8"/>
      <c r="L46" s="8"/>
      <c r="M46" s="8"/>
    </row>
    <row r="47" spans="1:16" ht="15.5" x14ac:dyDescent="0.35">
      <c r="K47" s="8"/>
      <c r="L47" s="8"/>
      <c r="M47" s="8"/>
    </row>
    <row r="48" spans="1:16" ht="15.5" x14ac:dyDescent="0.35">
      <c r="K48" s="8"/>
      <c r="L48" s="8"/>
      <c r="M48" s="8"/>
    </row>
    <row r="49" spans="11:13" ht="15.5" x14ac:dyDescent="0.35">
      <c r="K49" s="8"/>
      <c r="L49" s="8"/>
      <c r="M49" s="8"/>
    </row>
    <row r="50" spans="11:13" ht="15.5" x14ac:dyDescent="0.35">
      <c r="K50" s="8"/>
      <c r="L50" s="8"/>
      <c r="M50" s="8"/>
    </row>
    <row r="51" spans="11:13" ht="15.5" x14ac:dyDescent="0.35">
      <c r="K51" s="8"/>
      <c r="L51" s="8"/>
      <c r="M51" s="8"/>
    </row>
    <row r="52" spans="11:13" ht="15.5" x14ac:dyDescent="0.35">
      <c r="K52" s="8"/>
      <c r="L52" s="8"/>
      <c r="M52" s="8"/>
    </row>
    <row r="53" spans="11:13" ht="15.5" x14ac:dyDescent="0.35">
      <c r="K53" s="8"/>
      <c r="L53" s="8"/>
      <c r="M53" s="8"/>
    </row>
    <row r="54" spans="11:13" ht="15.5" x14ac:dyDescent="0.35">
      <c r="K54" s="8"/>
      <c r="L54" s="8"/>
      <c r="M54" s="8"/>
    </row>
    <row r="55" spans="11:13" ht="15.5" x14ac:dyDescent="0.35">
      <c r="K55" s="8"/>
      <c r="L55" s="8"/>
      <c r="M55" s="8"/>
    </row>
    <row r="56" spans="11:13" ht="15.5" x14ac:dyDescent="0.35">
      <c r="K56" s="8"/>
      <c r="L56" s="8"/>
      <c r="M56" s="8"/>
    </row>
    <row r="57" spans="11:13" ht="15.5" x14ac:dyDescent="0.35">
      <c r="K57" s="8"/>
      <c r="L57" s="8"/>
      <c r="M57" s="8"/>
    </row>
    <row r="58" spans="11:13" ht="15.5" x14ac:dyDescent="0.35">
      <c r="K58" s="8"/>
      <c r="L58" s="8"/>
      <c r="M58" s="8"/>
    </row>
    <row r="59" spans="11:13" ht="15.5" x14ac:dyDescent="0.35">
      <c r="K59" s="8"/>
      <c r="L59" s="8"/>
      <c r="M59" s="8"/>
    </row>
    <row r="60" spans="11:13" ht="15.5" x14ac:dyDescent="0.35">
      <c r="K60" s="8"/>
      <c r="L60" s="8"/>
      <c r="M60" s="8"/>
    </row>
    <row r="61" spans="11:13" ht="15.5" x14ac:dyDescent="0.35">
      <c r="K61" s="8"/>
      <c r="L61" s="8"/>
      <c r="M61" s="8"/>
    </row>
    <row r="62" spans="11:13" ht="15.5" x14ac:dyDescent="0.35">
      <c r="K62" s="8"/>
      <c r="L62" s="8"/>
      <c r="M62" s="8"/>
    </row>
    <row r="63" spans="11:13" ht="15.5" x14ac:dyDescent="0.35">
      <c r="K63" s="8"/>
      <c r="L63" s="8"/>
      <c r="M63" s="8"/>
    </row>
    <row r="64" spans="11:13" ht="15.5" x14ac:dyDescent="0.35">
      <c r="K64" s="8"/>
      <c r="L64" s="8"/>
      <c r="M64" s="8"/>
    </row>
    <row r="65" spans="11:13" ht="15.5" x14ac:dyDescent="0.35">
      <c r="K65" s="8"/>
      <c r="L65" s="8"/>
      <c r="M65" s="8"/>
    </row>
    <row r="66" spans="11:13" ht="15.5" x14ac:dyDescent="0.35">
      <c r="K66" s="8"/>
      <c r="L66" s="8"/>
      <c r="M66" s="8"/>
    </row>
    <row r="67" spans="11:13" ht="15.5" x14ac:dyDescent="0.35">
      <c r="K67" s="8"/>
      <c r="L67" s="8"/>
      <c r="M67" s="8"/>
    </row>
    <row r="68" spans="11:13" ht="15.5" x14ac:dyDescent="0.35">
      <c r="K68" s="8"/>
      <c r="L68" s="8"/>
      <c r="M68" s="8"/>
    </row>
    <row r="69" spans="11:13" ht="15.5" x14ac:dyDescent="0.35">
      <c r="K69" s="8"/>
      <c r="L69" s="8"/>
      <c r="M69" s="8"/>
    </row>
    <row r="70" spans="11:13" ht="15.5" x14ac:dyDescent="0.35">
      <c r="K70" s="8"/>
      <c r="L70" s="8"/>
      <c r="M70" s="8"/>
    </row>
    <row r="71" spans="11:13" ht="15.5" x14ac:dyDescent="0.35">
      <c r="K71" s="8"/>
      <c r="L71" s="8"/>
      <c r="M71" s="8"/>
    </row>
    <row r="72" spans="11:13" ht="15.5" x14ac:dyDescent="0.35">
      <c r="K72" s="8"/>
      <c r="L72" s="8"/>
      <c r="M72" s="8"/>
    </row>
    <row r="73" spans="11:13" ht="15.5" x14ac:dyDescent="0.35">
      <c r="K73" s="8"/>
      <c r="L73" s="8"/>
      <c r="M73" s="8"/>
    </row>
    <row r="74" spans="11:13" ht="15.5" x14ac:dyDescent="0.35">
      <c r="K74" s="8"/>
      <c r="L74" s="8"/>
      <c r="M74" s="8"/>
    </row>
    <row r="75" spans="11:13" ht="15.5" x14ac:dyDescent="0.35">
      <c r="K75" s="8"/>
      <c r="L75" s="8"/>
      <c r="M75" s="8"/>
    </row>
    <row r="76" spans="11:13" ht="15.5" x14ac:dyDescent="0.35">
      <c r="K76" s="8"/>
      <c r="L76" s="8"/>
      <c r="M76" s="8"/>
    </row>
    <row r="77" spans="11:13" ht="15.5" x14ac:dyDescent="0.35">
      <c r="K77" s="8"/>
      <c r="L77" s="8"/>
      <c r="M77" s="8"/>
    </row>
    <row r="78" spans="11:13" ht="15.5" x14ac:dyDescent="0.35">
      <c r="K78" s="8"/>
      <c r="L78" s="8"/>
      <c r="M78" s="8"/>
    </row>
    <row r="79" spans="11:13" ht="15.5" x14ac:dyDescent="0.35">
      <c r="K79" s="8"/>
      <c r="L79" s="8"/>
      <c r="M79" s="8"/>
    </row>
    <row r="80" spans="11:13" ht="15.5" x14ac:dyDescent="0.35">
      <c r="K80" s="8"/>
      <c r="L80" s="8"/>
      <c r="M80" s="8"/>
    </row>
    <row r="81" spans="11:13" ht="15.5" x14ac:dyDescent="0.35">
      <c r="K81" s="8"/>
      <c r="L81" s="8"/>
      <c r="M81" s="8"/>
    </row>
    <row r="82" spans="11:13" ht="15.5" x14ac:dyDescent="0.35">
      <c r="K82" s="8"/>
      <c r="L82" s="8"/>
      <c r="M82" s="8"/>
    </row>
    <row r="83" spans="11:13" ht="15.5" x14ac:dyDescent="0.35">
      <c r="K83" s="8"/>
      <c r="L83" s="8"/>
      <c r="M83" s="8"/>
    </row>
    <row r="84" spans="11:13" ht="15.5" x14ac:dyDescent="0.35">
      <c r="K84" s="8"/>
      <c r="L84" s="8"/>
      <c r="M84" s="8"/>
    </row>
    <row r="85" spans="11:13" ht="15.5" x14ac:dyDescent="0.35">
      <c r="K85" s="8"/>
      <c r="L85" s="8"/>
      <c r="M85" s="8"/>
    </row>
    <row r="86" spans="11:13" ht="15.5" x14ac:dyDescent="0.35">
      <c r="K86" s="8"/>
      <c r="L86" s="8"/>
      <c r="M86" s="8"/>
    </row>
    <row r="87" spans="11:13" ht="15.5" x14ac:dyDescent="0.35">
      <c r="K87" s="8"/>
      <c r="L87" s="8"/>
      <c r="M87" s="8"/>
    </row>
    <row r="88" spans="11:13" ht="15.5" x14ac:dyDescent="0.35">
      <c r="K88" s="8"/>
      <c r="L88" s="8"/>
      <c r="M88" s="8"/>
    </row>
    <row r="89" spans="11:13" ht="15.5" x14ac:dyDescent="0.35">
      <c r="K89" s="8"/>
      <c r="L89" s="8"/>
      <c r="M89" s="8"/>
    </row>
    <row r="90" spans="11:13" ht="15.5" x14ac:dyDescent="0.35">
      <c r="K90" s="8"/>
      <c r="L90" s="8"/>
      <c r="M90" s="8"/>
    </row>
    <row r="91" spans="11:13" ht="15.5" x14ac:dyDescent="0.35">
      <c r="K91" s="8"/>
      <c r="L91" s="8"/>
      <c r="M91" s="8"/>
    </row>
    <row r="92" spans="11:13" ht="15.5" x14ac:dyDescent="0.35">
      <c r="K92" s="8"/>
      <c r="L92" s="8"/>
      <c r="M92" s="8"/>
    </row>
    <row r="93" spans="11:13" ht="15.5" x14ac:dyDescent="0.35">
      <c r="K93" s="8"/>
      <c r="L93" s="8"/>
      <c r="M93" s="8"/>
    </row>
    <row r="94" spans="11:13" ht="15.5" x14ac:dyDescent="0.35">
      <c r="K94" s="8"/>
      <c r="L94" s="8"/>
      <c r="M94" s="8"/>
    </row>
    <row r="95" spans="11:13" ht="15.5" x14ac:dyDescent="0.35">
      <c r="K95" s="8"/>
      <c r="L95" s="8"/>
      <c r="M95" s="8"/>
    </row>
    <row r="96" spans="11:13" ht="15.5" x14ac:dyDescent="0.35">
      <c r="K96" s="8"/>
      <c r="L96" s="8"/>
      <c r="M96" s="8"/>
    </row>
    <row r="97" spans="11:13" ht="15.5" x14ac:dyDescent="0.35">
      <c r="K97" s="8"/>
      <c r="L97" s="8"/>
      <c r="M97" s="8"/>
    </row>
    <row r="98" spans="11:13" ht="15.5" x14ac:dyDescent="0.35">
      <c r="K98" s="8"/>
      <c r="L98" s="8"/>
      <c r="M98" s="8"/>
    </row>
    <row r="99" spans="11:13" ht="15.5" x14ac:dyDescent="0.35">
      <c r="K99" s="8"/>
      <c r="L99" s="8"/>
      <c r="M99" s="8"/>
    </row>
    <row r="100" spans="11:13" ht="15.5" x14ac:dyDescent="0.35">
      <c r="K100" s="8"/>
      <c r="L100" s="8"/>
      <c r="M100" s="8"/>
    </row>
    <row r="101" spans="11:13" ht="15.5" x14ac:dyDescent="0.35">
      <c r="K101" s="8"/>
      <c r="L101" s="8"/>
      <c r="M101" s="8"/>
    </row>
    <row r="102" spans="11:13" ht="15.5" x14ac:dyDescent="0.35">
      <c r="K102" s="8"/>
      <c r="L102" s="8"/>
      <c r="M102" s="8"/>
    </row>
    <row r="103" spans="11:13" ht="15.5" x14ac:dyDescent="0.35">
      <c r="K103" s="8"/>
      <c r="L103" s="8"/>
      <c r="M103" s="8"/>
    </row>
    <row r="104" spans="11:13" ht="15.5" x14ac:dyDescent="0.35">
      <c r="K104" s="8"/>
      <c r="L104" s="8"/>
      <c r="M104" s="8"/>
    </row>
    <row r="105" spans="11:13" ht="15.5" x14ac:dyDescent="0.35">
      <c r="K105" s="8"/>
      <c r="L105" s="8"/>
      <c r="M105" s="8"/>
    </row>
    <row r="106" spans="11:13" ht="15.5" x14ac:dyDescent="0.35">
      <c r="K106" s="8"/>
      <c r="L106" s="8"/>
      <c r="M106" s="8"/>
    </row>
    <row r="107" spans="11:13" ht="15.5" x14ac:dyDescent="0.35">
      <c r="K107" s="8"/>
      <c r="L107" s="8"/>
      <c r="M107" s="8"/>
    </row>
    <row r="108" spans="11:13" ht="15.5" x14ac:dyDescent="0.35">
      <c r="K108" s="8"/>
      <c r="L108" s="8"/>
      <c r="M108" s="8"/>
    </row>
    <row r="109" spans="11:13" ht="15.5" x14ac:dyDescent="0.35">
      <c r="K109" s="8"/>
      <c r="L109" s="8"/>
      <c r="M109" s="8"/>
    </row>
    <row r="110" spans="11:13" ht="15.5" x14ac:dyDescent="0.35">
      <c r="K110" s="8"/>
      <c r="L110" s="8"/>
      <c r="M110" s="8"/>
    </row>
    <row r="111" spans="11:13" ht="15.5" x14ac:dyDescent="0.35">
      <c r="K111" s="8"/>
      <c r="L111" s="8"/>
      <c r="M111" s="8"/>
    </row>
    <row r="112" spans="11:13" ht="15.5" x14ac:dyDescent="0.35">
      <c r="K112" s="8"/>
      <c r="L112" s="8"/>
      <c r="M112" s="8"/>
    </row>
    <row r="113" spans="11:13" ht="15.5" x14ac:dyDescent="0.35">
      <c r="K113" s="8"/>
      <c r="L113" s="8"/>
      <c r="M113" s="8"/>
    </row>
    <row r="114" spans="11:13" ht="15.5" x14ac:dyDescent="0.35">
      <c r="K114" s="8"/>
      <c r="L114" s="8"/>
      <c r="M114" s="8"/>
    </row>
    <row r="115" spans="11:13" ht="15.5" x14ac:dyDescent="0.35">
      <c r="K115" s="8"/>
      <c r="L115" s="8"/>
      <c r="M115" s="8"/>
    </row>
    <row r="116" spans="11:13" ht="15.5" x14ac:dyDescent="0.35">
      <c r="K116" s="8"/>
      <c r="L116" s="8"/>
      <c r="M116" s="8"/>
    </row>
    <row r="117" spans="11:13" ht="15.5" x14ac:dyDescent="0.35">
      <c r="K117" s="8"/>
      <c r="L117" s="8"/>
      <c r="M117" s="8"/>
    </row>
    <row r="118" spans="11:13" ht="15.5" x14ac:dyDescent="0.35">
      <c r="K118" s="8"/>
      <c r="L118" s="8"/>
      <c r="M118" s="8"/>
    </row>
    <row r="119" spans="11:13" ht="15.5" x14ac:dyDescent="0.35">
      <c r="K119" s="8"/>
      <c r="L119" s="8"/>
      <c r="M119" s="8"/>
    </row>
    <row r="120" spans="11:13" ht="15.5" x14ac:dyDescent="0.35">
      <c r="K120" s="8"/>
      <c r="L120" s="8"/>
      <c r="M120" s="8"/>
    </row>
    <row r="121" spans="11:13" ht="15.5" x14ac:dyDescent="0.35">
      <c r="K121" s="8"/>
      <c r="L121" s="8"/>
      <c r="M121" s="8"/>
    </row>
    <row r="122" spans="11:13" ht="15.5" x14ac:dyDescent="0.35">
      <c r="K122" s="8"/>
      <c r="L122" s="8"/>
      <c r="M122" s="8"/>
    </row>
    <row r="123" spans="11:13" ht="15.5" x14ac:dyDescent="0.35">
      <c r="K123" s="8"/>
      <c r="L123" s="8"/>
      <c r="M123" s="8"/>
    </row>
    <row r="124" spans="11:13" ht="15.5" x14ac:dyDescent="0.35">
      <c r="K124" s="8"/>
      <c r="L124" s="8"/>
      <c r="M124" s="8"/>
    </row>
    <row r="125" spans="11:13" ht="15.5" x14ac:dyDescent="0.35">
      <c r="K125" s="8"/>
      <c r="L125" s="8"/>
      <c r="M125" s="8"/>
    </row>
    <row r="126" spans="11:13" ht="15.5" x14ac:dyDescent="0.35">
      <c r="K126" s="8"/>
      <c r="L126" s="8"/>
      <c r="M126" s="8"/>
    </row>
    <row r="127" spans="11:13" ht="15.5" x14ac:dyDescent="0.35">
      <c r="K127" s="8"/>
      <c r="L127" s="8"/>
      <c r="M127" s="8"/>
    </row>
    <row r="128" spans="11:13" ht="15.5" x14ac:dyDescent="0.35">
      <c r="K128" s="8"/>
      <c r="L128" s="8"/>
      <c r="M128" s="8"/>
    </row>
    <row r="129" spans="11:13" ht="15.5" x14ac:dyDescent="0.35">
      <c r="K129" s="8"/>
      <c r="L129" s="8"/>
      <c r="M129" s="8"/>
    </row>
    <row r="130" spans="11:13" ht="15.5" x14ac:dyDescent="0.35">
      <c r="K130" s="8"/>
      <c r="L130" s="8"/>
      <c r="M130" s="8"/>
    </row>
    <row r="131" spans="11:13" ht="15.5" x14ac:dyDescent="0.35">
      <c r="K131" s="8"/>
      <c r="L131" s="8"/>
      <c r="M131" s="8"/>
    </row>
    <row r="132" spans="11:13" ht="15.5" x14ac:dyDescent="0.35">
      <c r="K132" s="8"/>
      <c r="L132" s="8"/>
      <c r="M132" s="8"/>
    </row>
    <row r="133" spans="11:13" ht="15.5" x14ac:dyDescent="0.35">
      <c r="K133" s="8"/>
      <c r="L133" s="8"/>
      <c r="M133" s="8"/>
    </row>
    <row r="134" spans="11:13" ht="15.5" x14ac:dyDescent="0.35">
      <c r="K134" s="8"/>
      <c r="L134" s="8"/>
      <c r="M134" s="8"/>
    </row>
    <row r="135" spans="11:13" ht="15.5" x14ac:dyDescent="0.35">
      <c r="K135" s="8"/>
      <c r="L135" s="8"/>
      <c r="M135" s="8"/>
    </row>
    <row r="136" spans="11:13" ht="15.5" x14ac:dyDescent="0.35">
      <c r="K136" s="8"/>
      <c r="L136" s="8"/>
      <c r="M136" s="8"/>
    </row>
    <row r="137" spans="11:13" ht="15.5" x14ac:dyDescent="0.35">
      <c r="K137" s="8"/>
      <c r="L137" s="8"/>
      <c r="M137" s="8"/>
    </row>
    <row r="138" spans="11:13" ht="15.5" x14ac:dyDescent="0.35">
      <c r="K138" s="8"/>
      <c r="L138" s="8"/>
      <c r="M138" s="8"/>
    </row>
    <row r="139" spans="11:13" ht="15.5" x14ac:dyDescent="0.35">
      <c r="K139" s="8"/>
      <c r="L139" s="8"/>
      <c r="M139" s="8"/>
    </row>
    <row r="140" spans="11:13" ht="15.5" x14ac:dyDescent="0.35">
      <c r="K140" s="8"/>
      <c r="L140" s="8"/>
      <c r="M140" s="8"/>
    </row>
    <row r="141" spans="11:13" ht="15.5" x14ac:dyDescent="0.35">
      <c r="K141" s="8"/>
      <c r="L141" s="8"/>
      <c r="M141" s="8"/>
    </row>
    <row r="142" spans="11:13" ht="15.5" x14ac:dyDescent="0.35">
      <c r="K142" s="8"/>
      <c r="L142" s="8"/>
      <c r="M142" s="8"/>
    </row>
    <row r="143" spans="11:13" ht="15.5" x14ac:dyDescent="0.35">
      <c r="K143" s="8"/>
      <c r="L143" s="8"/>
      <c r="M143" s="8"/>
    </row>
    <row r="144" spans="11:13" ht="15.5" x14ac:dyDescent="0.35">
      <c r="K144" s="8"/>
      <c r="L144" s="8"/>
      <c r="M144" s="8"/>
    </row>
    <row r="145" spans="11:13" ht="15.5" x14ac:dyDescent="0.35">
      <c r="K145" s="8"/>
      <c r="L145" s="8"/>
      <c r="M145" s="8"/>
    </row>
    <row r="146" spans="11:13" ht="15.5" x14ac:dyDescent="0.35">
      <c r="K146" s="8"/>
      <c r="L146" s="8"/>
      <c r="M146" s="8"/>
    </row>
    <row r="147" spans="11:13" ht="15.5" x14ac:dyDescent="0.35">
      <c r="K147" s="8"/>
      <c r="L147" s="8"/>
      <c r="M147" s="8"/>
    </row>
    <row r="148" spans="11:13" ht="15.5" x14ac:dyDescent="0.35">
      <c r="K148" s="8"/>
      <c r="L148" s="8"/>
      <c r="M148" s="8"/>
    </row>
    <row r="149" spans="11:13" ht="15.5" x14ac:dyDescent="0.35">
      <c r="K149" s="8"/>
      <c r="L149" s="8"/>
      <c r="M149" s="8"/>
    </row>
    <row r="150" spans="11:13" ht="15.5" x14ac:dyDescent="0.35">
      <c r="K150" s="8"/>
      <c r="L150" s="8"/>
      <c r="M150" s="8"/>
    </row>
    <row r="151" spans="11:13" ht="15.5" x14ac:dyDescent="0.35">
      <c r="K151" s="8"/>
      <c r="L151" s="8"/>
      <c r="M151" s="8"/>
    </row>
    <row r="152" spans="11:13" ht="15.5" x14ac:dyDescent="0.35">
      <c r="K152" s="8"/>
      <c r="L152" s="8"/>
      <c r="M152" s="8"/>
    </row>
    <row r="153" spans="11:13" ht="15.5" x14ac:dyDescent="0.35">
      <c r="K153" s="8"/>
      <c r="L153" s="8"/>
      <c r="M153" s="8"/>
    </row>
    <row r="154" spans="11:13" ht="15.5" x14ac:dyDescent="0.35">
      <c r="K154" s="8"/>
      <c r="L154" s="8"/>
      <c r="M154" s="8"/>
    </row>
    <row r="155" spans="11:13" ht="15.5" x14ac:dyDescent="0.35">
      <c r="K155" s="8"/>
      <c r="L155" s="8"/>
      <c r="M155" s="8"/>
    </row>
    <row r="156" spans="11:13" ht="15.5" x14ac:dyDescent="0.35">
      <c r="K156" s="8"/>
      <c r="L156" s="8"/>
      <c r="M156" s="8"/>
    </row>
    <row r="157" spans="11:13" ht="15.5" x14ac:dyDescent="0.35">
      <c r="K157" s="8"/>
      <c r="L157" s="8"/>
      <c r="M157" s="8"/>
    </row>
    <row r="158" spans="11:13" ht="15.5" x14ac:dyDescent="0.35">
      <c r="K158" s="8"/>
      <c r="L158" s="8"/>
      <c r="M158" s="8"/>
    </row>
    <row r="159" spans="11:13" ht="15.5" x14ac:dyDescent="0.35">
      <c r="K159" s="8"/>
      <c r="L159" s="8"/>
      <c r="M159" s="8"/>
    </row>
    <row r="160" spans="11:13" ht="15.5" x14ac:dyDescent="0.35">
      <c r="K160" s="8"/>
      <c r="L160" s="8"/>
      <c r="M160" s="8"/>
    </row>
    <row r="161" spans="11:13" ht="15.5" x14ac:dyDescent="0.35">
      <c r="K161" s="8"/>
      <c r="L161" s="8"/>
      <c r="M161" s="8"/>
    </row>
    <row r="162" spans="11:13" ht="15.5" x14ac:dyDescent="0.35">
      <c r="K162" s="8"/>
      <c r="L162" s="8"/>
      <c r="M162" s="8"/>
    </row>
    <row r="163" spans="11:13" ht="15.5" x14ac:dyDescent="0.35">
      <c r="K163" s="8"/>
      <c r="L163" s="8"/>
      <c r="M163" s="8"/>
    </row>
    <row r="164" spans="11:13" ht="15.5" x14ac:dyDescent="0.35">
      <c r="K164" s="8"/>
      <c r="L164" s="8"/>
      <c r="M164" s="8"/>
    </row>
    <row r="165" spans="11:13" ht="15.5" x14ac:dyDescent="0.35">
      <c r="K165" s="8"/>
      <c r="L165" s="8"/>
      <c r="M165" s="8"/>
    </row>
    <row r="166" spans="11:13" ht="15.5" x14ac:dyDescent="0.35">
      <c r="K166" s="8"/>
      <c r="L166" s="8"/>
      <c r="M166" s="8"/>
    </row>
    <row r="167" spans="11:13" ht="15.5" x14ac:dyDescent="0.35">
      <c r="K167" s="8"/>
      <c r="L167" s="8"/>
      <c r="M167" s="8"/>
    </row>
    <row r="168" spans="11:13" ht="15.5" x14ac:dyDescent="0.35">
      <c r="K168" s="8"/>
      <c r="L168" s="8"/>
      <c r="M168" s="8"/>
    </row>
    <row r="169" spans="11:13" ht="15.5" x14ac:dyDescent="0.35">
      <c r="K169" s="8"/>
      <c r="L169" s="8"/>
      <c r="M169" s="8"/>
    </row>
    <row r="170" spans="11:13" ht="15.5" x14ac:dyDescent="0.35">
      <c r="K170" s="8"/>
      <c r="L170" s="8"/>
      <c r="M170" s="8"/>
    </row>
    <row r="171" spans="11:13" ht="15.5" x14ac:dyDescent="0.35">
      <c r="K171" s="8"/>
      <c r="L171" s="8"/>
      <c r="M171" s="8"/>
    </row>
    <row r="172" spans="11:13" ht="15.5" x14ac:dyDescent="0.35">
      <c r="K172" s="8"/>
      <c r="L172" s="8"/>
      <c r="M172" s="8"/>
    </row>
    <row r="173" spans="11:13" ht="15.5" x14ac:dyDescent="0.35">
      <c r="K173" s="8"/>
      <c r="L173" s="8"/>
      <c r="M173" s="8"/>
    </row>
    <row r="174" spans="11:13" ht="15.5" x14ac:dyDescent="0.35">
      <c r="K174" s="8"/>
      <c r="L174" s="8"/>
      <c r="M174" s="8"/>
    </row>
    <row r="175" spans="11:13" ht="15.5" x14ac:dyDescent="0.35">
      <c r="K175" s="8"/>
      <c r="L175" s="8"/>
      <c r="M175" s="8"/>
    </row>
    <row r="176" spans="11:13" ht="15.5" x14ac:dyDescent="0.35">
      <c r="K176" s="8"/>
      <c r="L176" s="8"/>
      <c r="M176" s="8"/>
    </row>
    <row r="177" spans="11:13" ht="15.5" x14ac:dyDescent="0.35">
      <c r="K177" s="8"/>
      <c r="L177" s="8"/>
      <c r="M177" s="8"/>
    </row>
    <row r="178" spans="11:13" ht="15.5" x14ac:dyDescent="0.35">
      <c r="K178" s="8"/>
      <c r="L178" s="8"/>
      <c r="M178" s="8"/>
    </row>
    <row r="179" spans="11:13" ht="15.5" x14ac:dyDescent="0.35">
      <c r="K179" s="8"/>
      <c r="L179" s="8"/>
      <c r="M179" s="8"/>
    </row>
    <row r="180" spans="11:13" ht="15.5" x14ac:dyDescent="0.35">
      <c r="K180" s="8"/>
      <c r="L180" s="8"/>
      <c r="M180" s="8"/>
    </row>
    <row r="181" spans="11:13" ht="15.5" x14ac:dyDescent="0.35">
      <c r="K181" s="8"/>
      <c r="L181" s="8"/>
      <c r="M181" s="8"/>
    </row>
    <row r="182" spans="11:13" ht="15.5" x14ac:dyDescent="0.35">
      <c r="K182" s="8"/>
      <c r="L182" s="8"/>
      <c r="M182" s="8"/>
    </row>
    <row r="183" spans="11:13" ht="15.5" x14ac:dyDescent="0.35">
      <c r="K183" s="8"/>
      <c r="L183" s="8"/>
      <c r="M183" s="8"/>
    </row>
    <row r="184" spans="11:13" ht="15.5" x14ac:dyDescent="0.35">
      <c r="K184" s="8"/>
      <c r="L184" s="8"/>
      <c r="M184" s="8"/>
    </row>
    <row r="185" spans="11:13" ht="15.5" x14ac:dyDescent="0.35">
      <c r="K185" s="8"/>
      <c r="L185" s="8"/>
      <c r="M185" s="8"/>
    </row>
    <row r="186" spans="11:13" ht="15.5" x14ac:dyDescent="0.35">
      <c r="K186" s="8"/>
      <c r="L186" s="8"/>
      <c r="M186" s="8"/>
    </row>
    <row r="187" spans="11:13" ht="15.5" x14ac:dyDescent="0.35">
      <c r="K187" s="8"/>
      <c r="L187" s="8"/>
      <c r="M187" s="8"/>
    </row>
    <row r="188" spans="11:13" ht="15.5" x14ac:dyDescent="0.35">
      <c r="K188" s="8"/>
      <c r="L188" s="8"/>
      <c r="M188" s="8"/>
    </row>
    <row r="189" spans="11:13" ht="15.5" x14ac:dyDescent="0.35">
      <c r="K189" s="8"/>
      <c r="L189" s="8"/>
      <c r="M189" s="8"/>
    </row>
    <row r="190" spans="11:13" ht="15.5" x14ac:dyDescent="0.35">
      <c r="K190" s="8"/>
      <c r="L190" s="8"/>
      <c r="M190" s="8"/>
    </row>
    <row r="191" spans="11:13" ht="15.5" x14ac:dyDescent="0.35">
      <c r="K191" s="8"/>
      <c r="L191" s="8"/>
      <c r="M191" s="8"/>
    </row>
    <row r="192" spans="11:13" ht="15.5" x14ac:dyDescent="0.35">
      <c r="K192" s="8"/>
      <c r="L192" s="8"/>
      <c r="M192" s="8"/>
    </row>
    <row r="193" spans="11:13" ht="15.5" x14ac:dyDescent="0.35">
      <c r="K193" s="8"/>
      <c r="L193" s="8"/>
      <c r="M193" s="8"/>
    </row>
    <row r="194" spans="11:13" ht="15.5" x14ac:dyDescent="0.35">
      <c r="K194" s="8"/>
      <c r="L194" s="8"/>
      <c r="M194" s="8"/>
    </row>
    <row r="195" spans="11:13" ht="15.5" x14ac:dyDescent="0.35">
      <c r="K195" s="8"/>
      <c r="L195" s="8"/>
      <c r="M195" s="8"/>
    </row>
    <row r="196" spans="11:13" ht="15.5" x14ac:dyDescent="0.35">
      <c r="K196" s="8"/>
      <c r="L196" s="8"/>
      <c r="M196" s="8"/>
    </row>
    <row r="197" spans="11:13" ht="15.5" x14ac:dyDescent="0.35">
      <c r="K197" s="8"/>
      <c r="L197" s="8"/>
      <c r="M197" s="8"/>
    </row>
    <row r="198" spans="11:13" ht="15.5" x14ac:dyDescent="0.35">
      <c r="K198" s="8"/>
      <c r="L198" s="8"/>
      <c r="M198" s="8"/>
    </row>
    <row r="199" spans="11:13" ht="15.5" x14ac:dyDescent="0.35">
      <c r="K199" s="8"/>
      <c r="L199" s="8"/>
      <c r="M199" s="8"/>
    </row>
    <row r="200" spans="11:13" ht="15.5" x14ac:dyDescent="0.35">
      <c r="K200" s="8"/>
      <c r="L200" s="8"/>
      <c r="M200" s="8"/>
    </row>
    <row r="201" spans="11:13" ht="15.5" x14ac:dyDescent="0.35">
      <c r="K201" s="8"/>
      <c r="L201" s="8"/>
      <c r="M201" s="8"/>
    </row>
    <row r="202" spans="11:13" ht="15.5" x14ac:dyDescent="0.35">
      <c r="K202" s="8"/>
      <c r="L202" s="8"/>
      <c r="M202" s="8"/>
    </row>
    <row r="203" spans="11:13" ht="15.5" x14ac:dyDescent="0.35">
      <c r="K203" s="8"/>
      <c r="L203" s="8"/>
      <c r="M203" s="8"/>
    </row>
    <row r="204" spans="11:13" ht="15.5" x14ac:dyDescent="0.35">
      <c r="K204" s="8"/>
      <c r="L204" s="8"/>
      <c r="M204" s="8"/>
    </row>
    <row r="205" spans="11:13" ht="15.5" x14ac:dyDescent="0.35">
      <c r="K205" s="8"/>
      <c r="L205" s="8"/>
      <c r="M205" s="8"/>
    </row>
    <row r="206" spans="11:13" ht="15.5" x14ac:dyDescent="0.35">
      <c r="K206" s="8"/>
      <c r="L206" s="8"/>
      <c r="M206" s="8"/>
    </row>
    <row r="207" spans="11:13" ht="15.5" x14ac:dyDescent="0.35">
      <c r="K207" s="8"/>
      <c r="L207" s="8"/>
      <c r="M207" s="8"/>
    </row>
    <row r="208" spans="11:13" ht="15.5" x14ac:dyDescent="0.35">
      <c r="K208" s="8"/>
      <c r="L208" s="8"/>
      <c r="M208" s="8"/>
    </row>
    <row r="209" spans="11:13" ht="15.5" x14ac:dyDescent="0.35">
      <c r="K209" s="8"/>
      <c r="L209" s="8"/>
      <c r="M209" s="8"/>
    </row>
    <row r="210" spans="11:13" ht="15.5" x14ac:dyDescent="0.35">
      <c r="K210" s="8"/>
      <c r="L210" s="8"/>
      <c r="M210" s="8"/>
    </row>
    <row r="211" spans="11:13" ht="15.5" x14ac:dyDescent="0.35">
      <c r="K211" s="8"/>
      <c r="L211" s="8"/>
      <c r="M211" s="8"/>
    </row>
    <row r="212" spans="11:13" ht="15.5" x14ac:dyDescent="0.35">
      <c r="K212" s="8"/>
      <c r="L212" s="8"/>
      <c r="M212" s="8"/>
    </row>
    <row r="213" spans="11:13" ht="15.5" x14ac:dyDescent="0.35">
      <c r="K213" s="8"/>
      <c r="L213" s="8"/>
      <c r="M213" s="8"/>
    </row>
    <row r="214" spans="11:13" ht="15.5" x14ac:dyDescent="0.35">
      <c r="K214" s="8"/>
      <c r="L214" s="8"/>
      <c r="M214" s="8"/>
    </row>
    <row r="215" spans="11:13" ht="15.5" x14ac:dyDescent="0.35">
      <c r="K215" s="8"/>
      <c r="L215" s="8"/>
      <c r="M215" s="8"/>
    </row>
    <row r="216" spans="11:13" ht="15.5" x14ac:dyDescent="0.35">
      <c r="K216" s="8"/>
      <c r="L216" s="8"/>
      <c r="M216" s="8"/>
    </row>
    <row r="217" spans="11:13" ht="15.5" x14ac:dyDescent="0.35">
      <c r="K217" s="8"/>
      <c r="L217" s="8"/>
      <c r="M217" s="8"/>
    </row>
    <row r="218" spans="11:13" ht="15.5" x14ac:dyDescent="0.35">
      <c r="K218" s="8"/>
      <c r="L218" s="8"/>
      <c r="M218" s="8"/>
    </row>
    <row r="219" spans="11:13" ht="15.5" x14ac:dyDescent="0.35">
      <c r="K219" s="8"/>
      <c r="L219" s="8"/>
      <c r="M219" s="8"/>
    </row>
    <row r="220" spans="11:13" ht="15.5" x14ac:dyDescent="0.35">
      <c r="K220" s="8"/>
      <c r="L220" s="8"/>
      <c r="M220" s="8"/>
    </row>
    <row r="221" spans="11:13" ht="15.5" x14ac:dyDescent="0.35">
      <c r="K221" s="8"/>
      <c r="L221" s="8"/>
      <c r="M221" s="8"/>
    </row>
    <row r="222" spans="11:13" ht="15.5" x14ac:dyDescent="0.35">
      <c r="K222" s="8"/>
      <c r="L222" s="8"/>
      <c r="M222" s="8"/>
    </row>
    <row r="223" spans="11:13" ht="15.5" x14ac:dyDescent="0.35">
      <c r="K223" s="8"/>
      <c r="L223" s="8"/>
      <c r="M223" s="8"/>
    </row>
    <row r="224" spans="11:13" ht="15.5" x14ac:dyDescent="0.35">
      <c r="K224" s="8"/>
      <c r="L224" s="8"/>
      <c r="M224" s="8"/>
    </row>
    <row r="225" spans="11:13" ht="15.5" x14ac:dyDescent="0.35">
      <c r="K225" s="8"/>
      <c r="L225" s="8"/>
      <c r="M225" s="8"/>
    </row>
    <row r="226" spans="11:13" ht="15.5" x14ac:dyDescent="0.35">
      <c r="K226" s="8"/>
      <c r="L226" s="8"/>
      <c r="M226" s="8"/>
    </row>
    <row r="227" spans="11:13" ht="15.5" x14ac:dyDescent="0.35">
      <c r="K227" s="8"/>
      <c r="L227" s="8"/>
      <c r="M227" s="8"/>
    </row>
    <row r="228" spans="11:13" ht="15.5" x14ac:dyDescent="0.35">
      <c r="K228" s="8"/>
      <c r="L228" s="8"/>
      <c r="M228" s="8"/>
    </row>
    <row r="229" spans="11:13" ht="15.5" x14ac:dyDescent="0.35">
      <c r="K229" s="8"/>
      <c r="L229" s="8"/>
      <c r="M229" s="8"/>
    </row>
    <row r="230" spans="11:13" ht="15.5" x14ac:dyDescent="0.35">
      <c r="K230" s="8"/>
      <c r="L230" s="8"/>
      <c r="M230" s="8"/>
    </row>
    <row r="231" spans="11:13" ht="15.5" x14ac:dyDescent="0.35">
      <c r="K231" s="8"/>
      <c r="L231" s="8"/>
      <c r="M231" s="8"/>
    </row>
    <row r="232" spans="11:13" ht="15.5" x14ac:dyDescent="0.35">
      <c r="K232" s="8"/>
      <c r="L232" s="8"/>
      <c r="M232" s="8"/>
    </row>
    <row r="233" spans="11:13" ht="15.5" x14ac:dyDescent="0.35">
      <c r="K233" s="8"/>
      <c r="L233" s="8"/>
      <c r="M233" s="8"/>
    </row>
    <row r="234" spans="11:13" ht="15.5" x14ac:dyDescent="0.35">
      <c r="K234" s="8"/>
      <c r="L234" s="8"/>
      <c r="M234" s="8"/>
    </row>
    <row r="235" spans="11:13" ht="15.5" x14ac:dyDescent="0.35">
      <c r="K235" s="8"/>
      <c r="L235" s="8"/>
      <c r="M235" s="8"/>
    </row>
    <row r="236" spans="11:13" ht="15.5" x14ac:dyDescent="0.35">
      <c r="K236" s="8"/>
      <c r="L236" s="8"/>
      <c r="M236" s="8"/>
    </row>
    <row r="237" spans="11:13" ht="15.5" x14ac:dyDescent="0.35">
      <c r="K237" s="8"/>
      <c r="L237" s="8"/>
      <c r="M237" s="8"/>
    </row>
    <row r="238" spans="11:13" ht="15.5" x14ac:dyDescent="0.35">
      <c r="K238" s="8"/>
      <c r="L238" s="8"/>
      <c r="M238" s="8"/>
    </row>
    <row r="239" spans="11:13" ht="15.5" x14ac:dyDescent="0.35">
      <c r="K239" s="8"/>
      <c r="L239" s="8"/>
      <c r="M239" s="8"/>
    </row>
    <row r="240" spans="11:13" ht="15.5" x14ac:dyDescent="0.35">
      <c r="K240" s="8"/>
      <c r="L240" s="8"/>
      <c r="M240" s="8"/>
    </row>
    <row r="241" spans="11:13" ht="15.5" x14ac:dyDescent="0.35">
      <c r="K241" s="8"/>
      <c r="L241" s="8"/>
      <c r="M241" s="8"/>
    </row>
    <row r="242" spans="11:13" ht="15.5" x14ac:dyDescent="0.35">
      <c r="K242" s="8"/>
      <c r="L242" s="8"/>
      <c r="M242" s="8"/>
    </row>
    <row r="243" spans="11:13" ht="15.5" x14ac:dyDescent="0.35">
      <c r="K243" s="8"/>
      <c r="L243" s="8"/>
      <c r="M243" s="8"/>
    </row>
    <row r="244" spans="11:13" ht="15.5" x14ac:dyDescent="0.35">
      <c r="K244" s="8"/>
      <c r="L244" s="8"/>
      <c r="M244" s="8"/>
    </row>
    <row r="245" spans="11:13" ht="15.5" x14ac:dyDescent="0.35">
      <c r="K245" s="8"/>
      <c r="L245" s="8"/>
      <c r="M245" s="8"/>
    </row>
    <row r="246" spans="11:13" ht="15.5" x14ac:dyDescent="0.35">
      <c r="K246" s="8"/>
      <c r="L246" s="8"/>
      <c r="M246" s="8"/>
    </row>
    <row r="247" spans="11:13" ht="15.5" x14ac:dyDescent="0.35">
      <c r="K247" s="8"/>
      <c r="L247" s="8"/>
      <c r="M247" s="8"/>
    </row>
    <row r="248" spans="11:13" ht="15.5" x14ac:dyDescent="0.35">
      <c r="K248" s="8"/>
      <c r="L248" s="8"/>
      <c r="M248" s="8"/>
    </row>
    <row r="249" spans="11:13" ht="15.5" x14ac:dyDescent="0.35">
      <c r="K249" s="8"/>
      <c r="L249" s="8"/>
      <c r="M249" s="8"/>
    </row>
    <row r="250" spans="11:13" ht="15.5" x14ac:dyDescent="0.35">
      <c r="K250" s="8"/>
      <c r="L250" s="8"/>
      <c r="M250" s="8"/>
    </row>
    <row r="251" spans="11:13" ht="15.5" x14ac:dyDescent="0.35">
      <c r="K251" s="8"/>
      <c r="L251" s="8"/>
      <c r="M251" s="8"/>
    </row>
    <row r="252" spans="11:13" ht="15.5" x14ac:dyDescent="0.35">
      <c r="K252" s="8"/>
      <c r="L252" s="8"/>
      <c r="M252" s="8"/>
    </row>
    <row r="253" spans="11:13" ht="15.5" x14ac:dyDescent="0.35">
      <c r="K253" s="8"/>
      <c r="L253" s="8"/>
      <c r="M253" s="8"/>
    </row>
    <row r="254" spans="11:13" ht="15.5" x14ac:dyDescent="0.35">
      <c r="K254" s="8"/>
      <c r="L254" s="8"/>
      <c r="M254" s="8"/>
    </row>
    <row r="255" spans="11:13" ht="15.5" x14ac:dyDescent="0.35">
      <c r="K255" s="8"/>
      <c r="L255" s="8"/>
      <c r="M255" s="8"/>
    </row>
    <row r="256" spans="11:13" ht="15.5" x14ac:dyDescent="0.35">
      <c r="K256" s="8"/>
      <c r="L256" s="8"/>
      <c r="M256" s="8"/>
    </row>
    <row r="257" spans="11:13" ht="15.5" x14ac:dyDescent="0.35">
      <c r="K257" s="8"/>
      <c r="L257" s="8"/>
      <c r="M257" s="8"/>
    </row>
    <row r="258" spans="11:13" ht="15.5" x14ac:dyDescent="0.35">
      <c r="K258" s="8"/>
      <c r="L258" s="8"/>
      <c r="M258" s="8"/>
    </row>
    <row r="259" spans="11:13" ht="15.5" x14ac:dyDescent="0.35">
      <c r="K259" s="8"/>
      <c r="L259" s="8"/>
      <c r="M259" s="8"/>
    </row>
    <row r="260" spans="11:13" ht="15.5" x14ac:dyDescent="0.35">
      <c r="K260" s="8"/>
      <c r="L260" s="8"/>
      <c r="M260" s="8"/>
    </row>
    <row r="261" spans="11:13" ht="15.5" x14ac:dyDescent="0.35">
      <c r="K261" s="8"/>
      <c r="L261" s="8"/>
      <c r="M261" s="8"/>
    </row>
    <row r="262" spans="11:13" ht="15.5" x14ac:dyDescent="0.35">
      <c r="K262" s="8"/>
      <c r="L262" s="8"/>
      <c r="M262" s="8"/>
    </row>
    <row r="263" spans="11:13" ht="15.5" x14ac:dyDescent="0.35">
      <c r="K263" s="8"/>
      <c r="L263" s="8"/>
      <c r="M263" s="8"/>
    </row>
    <row r="264" spans="11:13" ht="15.5" x14ac:dyDescent="0.35">
      <c r="K264" s="8"/>
      <c r="L264" s="8"/>
      <c r="M264" s="8"/>
    </row>
    <row r="265" spans="11:13" ht="15.5" x14ac:dyDescent="0.35">
      <c r="K265" s="8"/>
      <c r="L265" s="8"/>
      <c r="M265" s="8"/>
    </row>
    <row r="266" spans="11:13" ht="15.5" x14ac:dyDescent="0.35">
      <c r="K266" s="8"/>
      <c r="L266" s="8"/>
      <c r="M266" s="8"/>
    </row>
    <row r="267" spans="11:13" ht="15.5" x14ac:dyDescent="0.35">
      <c r="K267" s="8"/>
      <c r="L267" s="8"/>
      <c r="M267" s="8"/>
    </row>
    <row r="268" spans="11:13" ht="15.5" x14ac:dyDescent="0.35">
      <c r="K268" s="8"/>
      <c r="L268" s="8"/>
      <c r="M268" s="8"/>
    </row>
    <row r="269" spans="11:13" ht="15.5" x14ac:dyDescent="0.35">
      <c r="K269" s="8"/>
      <c r="L269" s="8"/>
      <c r="M269" s="8"/>
    </row>
    <row r="270" spans="11:13" ht="15.5" x14ac:dyDescent="0.35">
      <c r="K270" s="8"/>
      <c r="L270" s="8"/>
      <c r="M270" s="8"/>
    </row>
    <row r="271" spans="11:13" ht="15.5" x14ac:dyDescent="0.35">
      <c r="K271" s="8"/>
      <c r="L271" s="8"/>
      <c r="M271" s="8"/>
    </row>
    <row r="272" spans="11:13" ht="15.5" x14ac:dyDescent="0.35">
      <c r="K272" s="8"/>
      <c r="L272" s="8"/>
      <c r="M272" s="8"/>
    </row>
    <row r="273" spans="11:13" ht="15.5" x14ac:dyDescent="0.35">
      <c r="K273" s="8"/>
      <c r="L273" s="8"/>
      <c r="M273" s="8"/>
    </row>
    <row r="274" spans="11:13" ht="15.5" x14ac:dyDescent="0.35">
      <c r="K274" s="8"/>
      <c r="L274" s="8"/>
      <c r="M274" s="8"/>
    </row>
    <row r="275" spans="11:13" ht="15.5" x14ac:dyDescent="0.35">
      <c r="K275" s="8"/>
      <c r="L275" s="8"/>
      <c r="M275" s="8"/>
    </row>
    <row r="276" spans="11:13" ht="15.5" x14ac:dyDescent="0.35">
      <c r="K276" s="8"/>
      <c r="L276" s="8"/>
      <c r="M276" s="8"/>
    </row>
    <row r="277" spans="11:13" ht="15.5" x14ac:dyDescent="0.35">
      <c r="K277" s="8"/>
      <c r="L277" s="8"/>
      <c r="M277" s="8"/>
    </row>
    <row r="278" spans="11:13" ht="15.5" x14ac:dyDescent="0.35">
      <c r="K278" s="8"/>
      <c r="L278" s="8"/>
      <c r="M278" s="8"/>
    </row>
    <row r="279" spans="11:13" ht="15.5" x14ac:dyDescent="0.35">
      <c r="K279" s="8"/>
      <c r="L279" s="8"/>
      <c r="M279" s="8"/>
    </row>
    <row r="280" spans="11:13" ht="15.5" x14ac:dyDescent="0.35">
      <c r="K280" s="8"/>
      <c r="L280" s="8"/>
      <c r="M280" s="8"/>
    </row>
    <row r="281" spans="11:13" ht="15.5" x14ac:dyDescent="0.35">
      <c r="K281" s="8"/>
      <c r="L281" s="8"/>
      <c r="M281" s="8"/>
    </row>
    <row r="282" spans="11:13" ht="15.5" x14ac:dyDescent="0.35">
      <c r="K282" s="8"/>
      <c r="L282" s="8"/>
      <c r="M282" s="8"/>
    </row>
    <row r="283" spans="11:13" ht="15.5" x14ac:dyDescent="0.35">
      <c r="K283" s="8"/>
      <c r="L283" s="8"/>
      <c r="M283" s="8"/>
    </row>
    <row r="284" spans="11:13" ht="15.5" x14ac:dyDescent="0.35">
      <c r="K284" s="8"/>
      <c r="L284" s="8"/>
      <c r="M284" s="8"/>
    </row>
    <row r="285" spans="11:13" ht="15.5" x14ac:dyDescent="0.35">
      <c r="K285" s="8"/>
      <c r="L285" s="8"/>
      <c r="M285" s="8"/>
    </row>
    <row r="286" spans="11:13" ht="15.5" x14ac:dyDescent="0.35">
      <c r="K286" s="8"/>
      <c r="L286" s="8"/>
      <c r="M286" s="8"/>
    </row>
    <row r="287" spans="11:13" ht="15.5" x14ac:dyDescent="0.35">
      <c r="K287" s="8"/>
      <c r="L287" s="8"/>
      <c r="M287" s="8"/>
    </row>
    <row r="288" spans="11:13" ht="15.5" x14ac:dyDescent="0.35">
      <c r="K288" s="8"/>
      <c r="L288" s="8"/>
      <c r="M288" s="8"/>
    </row>
    <row r="289" spans="11:13" ht="15.5" x14ac:dyDescent="0.35">
      <c r="K289" s="8"/>
      <c r="L289" s="8"/>
      <c r="M289" s="8"/>
    </row>
    <row r="290" spans="11:13" ht="15.5" x14ac:dyDescent="0.35">
      <c r="K290" s="8"/>
      <c r="L290" s="8"/>
      <c r="M290" s="8"/>
    </row>
    <row r="291" spans="11:13" ht="15.5" x14ac:dyDescent="0.35">
      <c r="K291" s="8"/>
      <c r="L291" s="8"/>
      <c r="M291" s="8"/>
    </row>
    <row r="292" spans="11:13" ht="15.5" x14ac:dyDescent="0.35">
      <c r="K292" s="8"/>
      <c r="L292" s="8"/>
      <c r="M292" s="8"/>
    </row>
    <row r="293" spans="11:13" ht="15.5" x14ac:dyDescent="0.35">
      <c r="K293" s="8"/>
      <c r="L293" s="8"/>
      <c r="M293" s="8"/>
    </row>
    <row r="294" spans="11:13" ht="15.5" x14ac:dyDescent="0.35">
      <c r="K294" s="8"/>
      <c r="L294" s="8"/>
      <c r="M294" s="8"/>
    </row>
    <row r="295" spans="11:13" ht="15.5" x14ac:dyDescent="0.35">
      <c r="K295" s="8"/>
      <c r="L295" s="8"/>
      <c r="M295" s="8"/>
    </row>
    <row r="296" spans="11:13" ht="15.5" x14ac:dyDescent="0.35">
      <c r="K296" s="8"/>
      <c r="L296" s="8"/>
      <c r="M296" s="8"/>
    </row>
    <row r="297" spans="11:13" ht="15.5" x14ac:dyDescent="0.35">
      <c r="K297" s="8"/>
      <c r="L297" s="8"/>
      <c r="M297" s="8"/>
    </row>
    <row r="298" spans="11:13" ht="15.5" x14ac:dyDescent="0.35">
      <c r="K298" s="8"/>
      <c r="L298" s="8"/>
      <c r="M298" s="8"/>
    </row>
    <row r="299" spans="11:13" ht="15.5" x14ac:dyDescent="0.35">
      <c r="K299" s="8"/>
      <c r="L299" s="8"/>
      <c r="M299" s="8"/>
    </row>
    <row r="300" spans="11:13" ht="15.5" x14ac:dyDescent="0.35">
      <c r="K300" s="8"/>
      <c r="L300" s="8"/>
      <c r="M300" s="8"/>
    </row>
    <row r="301" spans="11:13" ht="15.5" x14ac:dyDescent="0.35">
      <c r="K301" s="8"/>
      <c r="L301" s="8"/>
      <c r="M301" s="8"/>
    </row>
    <row r="302" spans="11:13" ht="15.5" x14ac:dyDescent="0.35">
      <c r="K302" s="8"/>
      <c r="L302" s="8"/>
      <c r="M302" s="8"/>
    </row>
    <row r="303" spans="11:13" ht="15.5" x14ac:dyDescent="0.35">
      <c r="K303" s="8"/>
      <c r="L303" s="8"/>
      <c r="M303" s="8"/>
    </row>
    <row r="304" spans="11:13" ht="15.5" x14ac:dyDescent="0.35">
      <c r="K304" s="8"/>
      <c r="L304" s="8"/>
      <c r="M304" s="8"/>
    </row>
    <row r="305" spans="11:13" ht="15.5" x14ac:dyDescent="0.35">
      <c r="K305" s="8"/>
      <c r="L305" s="8"/>
      <c r="M305" s="8"/>
    </row>
    <row r="306" spans="11:13" ht="15.5" x14ac:dyDescent="0.35">
      <c r="K306" s="8"/>
      <c r="L306" s="8"/>
      <c r="M306" s="8"/>
    </row>
    <row r="307" spans="11:13" ht="15.5" x14ac:dyDescent="0.35">
      <c r="K307" s="8"/>
      <c r="L307" s="8"/>
      <c r="M307" s="8"/>
    </row>
    <row r="308" spans="11:13" ht="15.5" x14ac:dyDescent="0.35">
      <c r="K308" s="8"/>
      <c r="L308" s="8"/>
      <c r="M308" s="8"/>
    </row>
    <row r="309" spans="11:13" ht="15.5" x14ac:dyDescent="0.35">
      <c r="K309" s="8"/>
      <c r="L309" s="8"/>
      <c r="M309" s="8"/>
    </row>
    <row r="310" spans="11:13" ht="15.5" x14ac:dyDescent="0.35">
      <c r="K310" s="8"/>
      <c r="L310" s="8"/>
      <c r="M310" s="8"/>
    </row>
    <row r="311" spans="11:13" ht="15.5" x14ac:dyDescent="0.35">
      <c r="K311" s="8"/>
      <c r="L311" s="8"/>
      <c r="M311" s="8"/>
    </row>
    <row r="312" spans="11:13" ht="15.5" x14ac:dyDescent="0.35">
      <c r="K312" s="8"/>
      <c r="L312" s="8"/>
      <c r="M312" s="8"/>
    </row>
    <row r="313" spans="11:13" ht="15.5" x14ac:dyDescent="0.35">
      <c r="K313" s="8"/>
      <c r="L313" s="8"/>
      <c r="M313" s="8"/>
    </row>
    <row r="314" spans="11:13" ht="15.5" x14ac:dyDescent="0.35">
      <c r="K314" s="8"/>
      <c r="L314" s="8"/>
      <c r="M314" s="8"/>
    </row>
    <row r="315" spans="11:13" ht="15.5" x14ac:dyDescent="0.35">
      <c r="K315" s="8"/>
      <c r="L315" s="8"/>
      <c r="M315" s="8"/>
    </row>
    <row r="316" spans="11:13" ht="15.5" x14ac:dyDescent="0.35">
      <c r="K316" s="8"/>
      <c r="L316" s="8"/>
      <c r="M316" s="8"/>
    </row>
    <row r="317" spans="11:13" ht="15.5" x14ac:dyDescent="0.35">
      <c r="K317" s="8"/>
      <c r="L317" s="8"/>
      <c r="M317" s="8"/>
    </row>
    <row r="318" spans="11:13" ht="15.5" x14ac:dyDescent="0.35">
      <c r="K318" s="8"/>
      <c r="L318" s="8"/>
      <c r="M318" s="8"/>
    </row>
    <row r="319" spans="11:13" ht="15.5" x14ac:dyDescent="0.35">
      <c r="K319" s="8"/>
      <c r="L319" s="8"/>
      <c r="M319" s="8"/>
    </row>
    <row r="320" spans="11:13" ht="15.5" x14ac:dyDescent="0.35">
      <c r="K320" s="8"/>
      <c r="L320" s="8"/>
      <c r="M320" s="8"/>
    </row>
    <row r="321" spans="11:13" ht="15.5" x14ac:dyDescent="0.35">
      <c r="K321" s="8"/>
      <c r="L321" s="8"/>
      <c r="M321" s="8"/>
    </row>
    <row r="322" spans="11:13" ht="15.5" x14ac:dyDescent="0.35">
      <c r="K322" s="8"/>
      <c r="L322" s="8"/>
      <c r="M322" s="8"/>
    </row>
    <row r="323" spans="11:13" ht="15.5" x14ac:dyDescent="0.35">
      <c r="K323" s="8"/>
      <c r="L323" s="8"/>
      <c r="M323" s="8"/>
    </row>
    <row r="324" spans="11:13" ht="15.5" x14ac:dyDescent="0.35">
      <c r="K324" s="8"/>
      <c r="L324" s="8"/>
      <c r="M324" s="8"/>
    </row>
    <row r="325" spans="11:13" ht="15.5" x14ac:dyDescent="0.35">
      <c r="K325" s="8"/>
      <c r="L325" s="8"/>
      <c r="M325" s="8"/>
    </row>
    <row r="326" spans="11:13" ht="15.5" x14ac:dyDescent="0.35">
      <c r="K326" s="8"/>
      <c r="L326" s="8"/>
      <c r="M326" s="8"/>
    </row>
    <row r="327" spans="11:13" ht="15.5" x14ac:dyDescent="0.35">
      <c r="K327" s="8"/>
      <c r="L327" s="8"/>
      <c r="M327" s="8"/>
    </row>
    <row r="328" spans="11:13" ht="15.5" x14ac:dyDescent="0.35">
      <c r="K328" s="8"/>
      <c r="L328" s="8"/>
      <c r="M328" s="8"/>
    </row>
    <row r="329" spans="11:13" ht="15.5" x14ac:dyDescent="0.35">
      <c r="K329" s="8"/>
      <c r="L329" s="8"/>
      <c r="M329" s="8"/>
    </row>
    <row r="330" spans="11:13" ht="15.5" x14ac:dyDescent="0.35">
      <c r="K330" s="8"/>
      <c r="L330" s="8"/>
      <c r="M330" s="8"/>
    </row>
    <row r="331" spans="11:13" ht="15.5" x14ac:dyDescent="0.35">
      <c r="K331" s="8"/>
      <c r="L331" s="8"/>
      <c r="M331" s="8"/>
    </row>
    <row r="332" spans="11:13" ht="15.5" x14ac:dyDescent="0.35">
      <c r="K332" s="8"/>
      <c r="L332" s="8"/>
      <c r="M332" s="8"/>
    </row>
    <row r="333" spans="11:13" ht="15.5" x14ac:dyDescent="0.35">
      <c r="K333" s="8"/>
      <c r="L333" s="8"/>
      <c r="M333" s="8"/>
    </row>
    <row r="334" spans="11:13" ht="15.5" x14ac:dyDescent="0.35">
      <c r="K334" s="8"/>
      <c r="L334" s="8"/>
      <c r="M334" s="8"/>
    </row>
    <row r="335" spans="11:13" ht="15.5" x14ac:dyDescent="0.35">
      <c r="K335" s="8"/>
      <c r="L335" s="8"/>
      <c r="M335" s="8"/>
    </row>
    <row r="336" spans="11:13" ht="15.5" x14ac:dyDescent="0.35">
      <c r="K336" s="8"/>
      <c r="L336" s="8"/>
      <c r="M336" s="8"/>
    </row>
    <row r="337" spans="11:13" ht="15.5" x14ac:dyDescent="0.35">
      <c r="K337" s="8"/>
      <c r="L337" s="8"/>
      <c r="M337" s="8"/>
    </row>
    <row r="338" spans="11:13" ht="15.5" x14ac:dyDescent="0.35">
      <c r="K338" s="8"/>
      <c r="L338" s="8"/>
      <c r="M338" s="8"/>
    </row>
    <row r="339" spans="11:13" ht="15.5" x14ac:dyDescent="0.35">
      <c r="K339" s="8"/>
      <c r="L339" s="8"/>
      <c r="M339" s="8"/>
    </row>
    <row r="340" spans="11:13" ht="15.5" x14ac:dyDescent="0.35">
      <c r="K340" s="8"/>
      <c r="L340" s="8"/>
      <c r="M340" s="8"/>
    </row>
    <row r="341" spans="11:13" ht="15.5" x14ac:dyDescent="0.35">
      <c r="K341" s="8"/>
      <c r="L341" s="8"/>
      <c r="M341" s="8"/>
    </row>
    <row r="342" spans="11:13" ht="15.5" x14ac:dyDescent="0.35">
      <c r="K342" s="8"/>
      <c r="L342" s="8"/>
      <c r="M342" s="8"/>
    </row>
    <row r="343" spans="11:13" ht="15.5" x14ac:dyDescent="0.35">
      <c r="K343" s="8"/>
      <c r="L343" s="8"/>
      <c r="M343" s="8"/>
    </row>
    <row r="344" spans="11:13" ht="15.5" x14ac:dyDescent="0.35">
      <c r="K344" s="8"/>
      <c r="L344" s="8"/>
      <c r="M344" s="8"/>
    </row>
    <row r="345" spans="11:13" ht="15.5" x14ac:dyDescent="0.35">
      <c r="K345" s="8"/>
      <c r="L345" s="8"/>
      <c r="M345" s="8"/>
    </row>
    <row r="346" spans="11:13" ht="15.5" x14ac:dyDescent="0.35">
      <c r="K346" s="8"/>
      <c r="L346" s="8"/>
      <c r="M346" s="8"/>
    </row>
    <row r="347" spans="11:13" ht="15.5" x14ac:dyDescent="0.35">
      <c r="K347" s="8"/>
      <c r="L347" s="8"/>
      <c r="M347" s="8"/>
    </row>
    <row r="348" spans="11:13" ht="15.5" x14ac:dyDescent="0.35">
      <c r="K348" s="8"/>
      <c r="L348" s="8"/>
      <c r="M348" s="8"/>
    </row>
    <row r="349" spans="11:13" ht="15.5" x14ac:dyDescent="0.35">
      <c r="K349" s="8"/>
      <c r="L349" s="8"/>
      <c r="M349" s="8"/>
    </row>
    <row r="350" spans="11:13" ht="15.5" x14ac:dyDescent="0.35">
      <c r="K350" s="8"/>
      <c r="L350" s="8"/>
      <c r="M350" s="8"/>
    </row>
    <row r="351" spans="11:13" ht="15.5" x14ac:dyDescent="0.35">
      <c r="K351" s="8"/>
      <c r="L351" s="8"/>
      <c r="M351" s="8"/>
    </row>
    <row r="352" spans="11:13" ht="15.5" x14ac:dyDescent="0.35">
      <c r="K352" s="8"/>
      <c r="L352" s="8"/>
      <c r="M352" s="8"/>
    </row>
    <row r="353" spans="11:13" ht="15.5" x14ac:dyDescent="0.35">
      <c r="K353" s="8"/>
      <c r="L353" s="8"/>
      <c r="M353" s="8"/>
    </row>
    <row r="354" spans="11:13" ht="15.5" x14ac:dyDescent="0.35">
      <c r="K354" s="8"/>
      <c r="L354" s="8"/>
      <c r="M354" s="8"/>
    </row>
    <row r="355" spans="11:13" ht="15.5" x14ac:dyDescent="0.35">
      <c r="K355" s="8"/>
      <c r="L355" s="8"/>
      <c r="M355" s="8"/>
    </row>
    <row r="356" spans="11:13" ht="15.5" x14ac:dyDescent="0.35">
      <c r="K356" s="8"/>
      <c r="L356" s="8"/>
      <c r="M356" s="8"/>
    </row>
    <row r="357" spans="11:13" ht="15.5" x14ac:dyDescent="0.35">
      <c r="K357" s="8"/>
      <c r="L357" s="8"/>
      <c r="M357" s="8"/>
    </row>
    <row r="358" spans="11:13" ht="15.5" x14ac:dyDescent="0.35">
      <c r="K358" s="8"/>
      <c r="L358" s="8"/>
      <c r="M358" s="8"/>
    </row>
    <row r="359" spans="11:13" ht="15.5" x14ac:dyDescent="0.35">
      <c r="K359" s="8"/>
      <c r="L359" s="8"/>
      <c r="M359" s="8"/>
    </row>
    <row r="360" spans="11:13" ht="15.5" x14ac:dyDescent="0.35">
      <c r="K360" s="8"/>
      <c r="L360" s="8"/>
      <c r="M360" s="8"/>
    </row>
    <row r="361" spans="11:13" ht="15.5" x14ac:dyDescent="0.35">
      <c r="K361" s="8"/>
      <c r="L361" s="8"/>
      <c r="M361" s="8"/>
    </row>
    <row r="362" spans="11:13" ht="15.5" x14ac:dyDescent="0.35">
      <c r="K362" s="8"/>
      <c r="L362" s="8"/>
      <c r="M362" s="8"/>
    </row>
    <row r="363" spans="11:13" ht="15.5" x14ac:dyDescent="0.35">
      <c r="K363" s="8"/>
      <c r="L363" s="8"/>
      <c r="M363" s="8"/>
    </row>
    <row r="364" spans="11:13" ht="15.5" x14ac:dyDescent="0.35">
      <c r="K364" s="8"/>
      <c r="L364" s="8"/>
      <c r="M364" s="8"/>
    </row>
    <row r="365" spans="11:13" ht="15.5" x14ac:dyDescent="0.35">
      <c r="K365" s="8"/>
      <c r="L365" s="8"/>
      <c r="M365" s="8"/>
    </row>
    <row r="366" spans="11:13" ht="15.5" x14ac:dyDescent="0.35">
      <c r="K366" s="8"/>
      <c r="L366" s="8"/>
      <c r="M366" s="8"/>
    </row>
    <row r="367" spans="11:13" ht="15.5" x14ac:dyDescent="0.35">
      <c r="K367" s="8"/>
      <c r="L367" s="8"/>
      <c r="M367" s="8"/>
    </row>
    <row r="368" spans="11:13" ht="15.5" x14ac:dyDescent="0.35">
      <c r="K368" s="8"/>
      <c r="L368" s="8"/>
      <c r="M368" s="8"/>
    </row>
    <row r="369" spans="11:13" ht="15.5" x14ac:dyDescent="0.35">
      <c r="K369" s="8"/>
      <c r="L369" s="8"/>
      <c r="M369" s="8"/>
    </row>
    <row r="370" spans="11:13" ht="15.5" x14ac:dyDescent="0.35">
      <c r="K370" s="8"/>
      <c r="L370" s="8"/>
      <c r="M370" s="8"/>
    </row>
    <row r="371" spans="11:13" ht="15.5" x14ac:dyDescent="0.35">
      <c r="K371" s="8"/>
      <c r="L371" s="8"/>
      <c r="M371" s="8"/>
    </row>
    <row r="372" spans="11:13" ht="15.5" x14ac:dyDescent="0.35">
      <c r="K372" s="8"/>
      <c r="L372" s="8"/>
      <c r="M372" s="8"/>
    </row>
    <row r="373" spans="11:13" ht="15.5" x14ac:dyDescent="0.35">
      <c r="K373" s="8"/>
      <c r="L373" s="8"/>
      <c r="M373" s="8"/>
    </row>
    <row r="374" spans="11:13" ht="15.5" x14ac:dyDescent="0.35">
      <c r="K374" s="8"/>
      <c r="L374" s="8"/>
      <c r="M374" s="8"/>
    </row>
    <row r="375" spans="11:13" ht="15.5" x14ac:dyDescent="0.35">
      <c r="K375" s="8"/>
      <c r="L375" s="8"/>
      <c r="M375" s="8"/>
    </row>
    <row r="376" spans="11:13" ht="15.5" x14ac:dyDescent="0.35">
      <c r="K376" s="8"/>
      <c r="L376" s="8"/>
      <c r="M376" s="8"/>
    </row>
    <row r="377" spans="11:13" ht="15.5" x14ac:dyDescent="0.35">
      <c r="K377" s="8"/>
      <c r="L377" s="8"/>
      <c r="M377" s="8"/>
    </row>
    <row r="378" spans="11:13" ht="15.5" x14ac:dyDescent="0.35">
      <c r="K378" s="8"/>
      <c r="L378" s="8"/>
      <c r="M378" s="8"/>
    </row>
    <row r="379" spans="11:13" ht="15.5" x14ac:dyDescent="0.35">
      <c r="K379" s="8"/>
      <c r="L379" s="8"/>
      <c r="M379" s="8"/>
    </row>
    <row r="380" spans="11:13" ht="15.5" x14ac:dyDescent="0.35">
      <c r="K380" s="8"/>
      <c r="L380" s="8"/>
      <c r="M380" s="8"/>
    </row>
    <row r="381" spans="11:13" ht="15.5" x14ac:dyDescent="0.35">
      <c r="K381" s="8"/>
      <c r="L381" s="8"/>
      <c r="M381" s="8"/>
    </row>
    <row r="382" spans="11:13" ht="15.5" x14ac:dyDescent="0.35">
      <c r="K382" s="8"/>
      <c r="L382" s="8"/>
      <c r="M382" s="8"/>
    </row>
    <row r="383" spans="11:13" ht="15.5" x14ac:dyDescent="0.35">
      <c r="K383" s="8"/>
      <c r="L383" s="8"/>
      <c r="M383" s="8"/>
    </row>
    <row r="384" spans="11:13" ht="15.5" x14ac:dyDescent="0.35">
      <c r="K384" s="8"/>
      <c r="L384" s="8"/>
      <c r="M384" s="8"/>
    </row>
    <row r="385" spans="11:13" ht="15.5" x14ac:dyDescent="0.35">
      <c r="K385" s="8"/>
      <c r="L385" s="8"/>
      <c r="M385" s="8"/>
    </row>
    <row r="386" spans="11:13" ht="15.5" x14ac:dyDescent="0.35">
      <c r="K386" s="8"/>
      <c r="L386" s="8"/>
      <c r="M386" s="8"/>
    </row>
    <row r="387" spans="11:13" ht="15.5" x14ac:dyDescent="0.35">
      <c r="K387" s="8"/>
      <c r="L387" s="8"/>
      <c r="M387" s="8"/>
    </row>
    <row r="388" spans="11:13" ht="15.5" x14ac:dyDescent="0.35">
      <c r="K388" s="8"/>
      <c r="L388" s="8"/>
      <c r="M388" s="8"/>
    </row>
    <row r="389" spans="11:13" ht="15.5" x14ac:dyDescent="0.35">
      <c r="K389" s="8"/>
      <c r="L389" s="8"/>
      <c r="M389" s="8"/>
    </row>
    <row r="390" spans="11:13" ht="15.5" x14ac:dyDescent="0.35">
      <c r="K390" s="8"/>
      <c r="L390" s="8"/>
      <c r="M390" s="8"/>
    </row>
    <row r="391" spans="11:13" ht="15.5" x14ac:dyDescent="0.35">
      <c r="K391" s="8"/>
      <c r="L391" s="8"/>
      <c r="M391" s="8"/>
    </row>
    <row r="392" spans="11:13" ht="15.5" x14ac:dyDescent="0.35">
      <c r="K392" s="8"/>
      <c r="L392" s="8"/>
      <c r="M392" s="8"/>
    </row>
    <row r="393" spans="11:13" ht="15.5" x14ac:dyDescent="0.35">
      <c r="K393" s="8"/>
      <c r="L393" s="8"/>
      <c r="M393" s="8"/>
    </row>
    <row r="394" spans="11:13" ht="15.5" x14ac:dyDescent="0.35">
      <c r="K394" s="8"/>
      <c r="L394" s="8"/>
      <c r="M394" s="8"/>
    </row>
    <row r="395" spans="11:13" ht="15.5" x14ac:dyDescent="0.35">
      <c r="K395" s="8"/>
      <c r="L395" s="8"/>
      <c r="M395" s="8"/>
    </row>
    <row r="396" spans="11:13" ht="15.5" x14ac:dyDescent="0.35">
      <c r="K396" s="8"/>
      <c r="L396" s="8"/>
      <c r="M396" s="8"/>
    </row>
    <row r="397" spans="11:13" ht="15.5" x14ac:dyDescent="0.35">
      <c r="K397" s="8"/>
      <c r="L397" s="8"/>
      <c r="M397" s="8"/>
    </row>
    <row r="398" spans="11:13" ht="15.5" x14ac:dyDescent="0.35">
      <c r="K398" s="8"/>
      <c r="L398" s="8"/>
      <c r="M398" s="8"/>
    </row>
    <row r="399" spans="11:13" ht="15.5" x14ac:dyDescent="0.35">
      <c r="K399" s="8"/>
      <c r="L399" s="8"/>
      <c r="M399" s="8"/>
    </row>
    <row r="400" spans="11:13" ht="15.5" x14ac:dyDescent="0.35">
      <c r="K400" s="8"/>
      <c r="L400" s="8"/>
      <c r="M400" s="8"/>
    </row>
    <row r="401" spans="11:13" ht="15.5" x14ac:dyDescent="0.35">
      <c r="K401" s="8"/>
      <c r="L401" s="8"/>
      <c r="M401" s="8"/>
    </row>
    <row r="402" spans="11:13" ht="15.5" x14ac:dyDescent="0.35">
      <c r="K402" s="8"/>
      <c r="L402" s="8"/>
      <c r="M402" s="8"/>
    </row>
    <row r="403" spans="11:13" ht="15.5" x14ac:dyDescent="0.35">
      <c r="K403" s="8"/>
      <c r="L403" s="8"/>
      <c r="M403" s="8"/>
    </row>
    <row r="404" spans="11:13" ht="15.5" x14ac:dyDescent="0.35">
      <c r="K404" s="8"/>
      <c r="L404" s="8"/>
      <c r="M404" s="8"/>
    </row>
    <row r="405" spans="11:13" ht="15.5" x14ac:dyDescent="0.35">
      <c r="K405" s="8"/>
      <c r="L405" s="8"/>
      <c r="M405" s="8"/>
    </row>
    <row r="406" spans="11:13" ht="15.5" x14ac:dyDescent="0.35">
      <c r="K406" s="8"/>
      <c r="L406" s="8"/>
      <c r="M406" s="8"/>
    </row>
    <row r="407" spans="11:13" ht="15.5" x14ac:dyDescent="0.35">
      <c r="K407" s="8"/>
      <c r="L407" s="8"/>
      <c r="M407" s="8"/>
    </row>
    <row r="408" spans="11:13" ht="15.5" x14ac:dyDescent="0.35">
      <c r="K408" s="8"/>
      <c r="L408" s="8"/>
      <c r="M408" s="8"/>
    </row>
    <row r="409" spans="11:13" ht="15.5" x14ac:dyDescent="0.35">
      <c r="K409" s="8"/>
      <c r="L409" s="8"/>
      <c r="M409" s="8"/>
    </row>
    <row r="410" spans="11:13" ht="15.5" x14ac:dyDescent="0.35">
      <c r="K410" s="8"/>
      <c r="L410" s="8"/>
      <c r="M410" s="8"/>
    </row>
    <row r="411" spans="11:13" ht="15.5" x14ac:dyDescent="0.35">
      <c r="K411" s="8"/>
      <c r="L411" s="8"/>
      <c r="M411" s="8"/>
    </row>
    <row r="412" spans="11:13" ht="15.5" x14ac:dyDescent="0.35">
      <c r="K412" s="8"/>
      <c r="L412" s="8"/>
      <c r="M412" s="8"/>
    </row>
    <row r="413" spans="11:13" ht="15.5" x14ac:dyDescent="0.35">
      <c r="K413" s="8"/>
      <c r="L413" s="8"/>
      <c r="M413" s="8"/>
    </row>
    <row r="414" spans="11:13" ht="15.5" x14ac:dyDescent="0.35">
      <c r="K414" s="8"/>
      <c r="L414" s="8"/>
      <c r="M414" s="8"/>
    </row>
    <row r="415" spans="11:13" ht="15.5" x14ac:dyDescent="0.35">
      <c r="K415" s="8"/>
      <c r="L415" s="8"/>
      <c r="M415" s="8"/>
    </row>
    <row r="416" spans="11:13" ht="15.5" x14ac:dyDescent="0.35">
      <c r="K416" s="8"/>
      <c r="L416" s="8"/>
      <c r="M416" s="8"/>
    </row>
    <row r="417" spans="11:13" ht="15.5" x14ac:dyDescent="0.35">
      <c r="K417" s="8"/>
      <c r="L417" s="8"/>
      <c r="M417" s="8"/>
    </row>
    <row r="418" spans="11:13" ht="15.5" x14ac:dyDescent="0.35">
      <c r="K418" s="8"/>
      <c r="L418" s="8"/>
      <c r="M418" s="8"/>
    </row>
    <row r="419" spans="11:13" ht="15.5" x14ac:dyDescent="0.35">
      <c r="K419" s="8"/>
      <c r="L419" s="8"/>
      <c r="M419" s="8"/>
    </row>
    <row r="420" spans="11:13" ht="15.5" x14ac:dyDescent="0.35">
      <c r="K420" s="8"/>
      <c r="L420" s="8"/>
      <c r="M420" s="8"/>
    </row>
    <row r="421" spans="11:13" ht="15.5" x14ac:dyDescent="0.35">
      <c r="K421" s="8"/>
      <c r="L421" s="8"/>
      <c r="M421" s="8"/>
    </row>
    <row r="422" spans="11:13" ht="15.5" x14ac:dyDescent="0.35">
      <c r="K422" s="8"/>
      <c r="L422" s="8"/>
      <c r="M422" s="8"/>
    </row>
    <row r="423" spans="11:13" ht="15.5" x14ac:dyDescent="0.35">
      <c r="K423" s="8"/>
      <c r="L423" s="8"/>
      <c r="M423" s="8"/>
    </row>
    <row r="424" spans="11:13" ht="15.5" x14ac:dyDescent="0.35">
      <c r="K424" s="8"/>
      <c r="L424" s="8"/>
      <c r="M424" s="8"/>
    </row>
    <row r="425" spans="11:13" ht="15.5" x14ac:dyDescent="0.35">
      <c r="K425" s="8"/>
      <c r="L425" s="8"/>
      <c r="M425" s="8"/>
    </row>
    <row r="426" spans="11:13" ht="15.5" x14ac:dyDescent="0.35">
      <c r="K426" s="8"/>
      <c r="L426" s="8"/>
      <c r="M426" s="8"/>
    </row>
    <row r="427" spans="11:13" ht="15.5" x14ac:dyDescent="0.35">
      <c r="K427" s="8"/>
      <c r="L427" s="8"/>
      <c r="M427" s="8"/>
    </row>
    <row r="428" spans="11:13" ht="15.5" x14ac:dyDescent="0.35">
      <c r="K428" s="8"/>
      <c r="L428" s="8"/>
      <c r="M428" s="8"/>
    </row>
    <row r="429" spans="11:13" ht="15.5" x14ac:dyDescent="0.35">
      <c r="K429" s="8"/>
      <c r="L429" s="8"/>
      <c r="M429" s="8"/>
    </row>
    <row r="430" spans="11:13" ht="15.5" x14ac:dyDescent="0.35">
      <c r="K430" s="8"/>
      <c r="L430" s="8"/>
      <c r="M430" s="8"/>
    </row>
    <row r="431" spans="11:13" ht="15.5" x14ac:dyDescent="0.35">
      <c r="K431" s="8"/>
      <c r="L431" s="8"/>
      <c r="M431" s="8"/>
    </row>
    <row r="432" spans="11:13" ht="15.5" x14ac:dyDescent="0.35">
      <c r="K432" s="8"/>
      <c r="L432" s="8"/>
      <c r="M432" s="8"/>
    </row>
    <row r="433" spans="11:13" ht="15.5" x14ac:dyDescent="0.35">
      <c r="K433" s="8"/>
      <c r="L433" s="8"/>
      <c r="M433" s="8"/>
    </row>
    <row r="434" spans="11:13" ht="15.5" x14ac:dyDescent="0.35">
      <c r="K434" s="8"/>
      <c r="L434" s="8"/>
      <c r="M434" s="8"/>
    </row>
    <row r="435" spans="11:13" ht="15.5" x14ac:dyDescent="0.35">
      <c r="K435" s="8"/>
      <c r="L435" s="8"/>
      <c r="M435" s="8"/>
    </row>
    <row r="436" spans="11:13" ht="15.5" x14ac:dyDescent="0.35">
      <c r="K436" s="8"/>
      <c r="L436" s="8"/>
      <c r="M436" s="8"/>
    </row>
    <row r="437" spans="11:13" ht="15.5" x14ac:dyDescent="0.35">
      <c r="K437" s="8"/>
      <c r="L437" s="8"/>
      <c r="M437" s="8"/>
    </row>
    <row r="438" spans="11:13" ht="15.5" x14ac:dyDescent="0.35">
      <c r="K438" s="8"/>
      <c r="L438" s="8"/>
      <c r="M438" s="8"/>
    </row>
    <row r="439" spans="11:13" ht="15.5" x14ac:dyDescent="0.35">
      <c r="K439" s="8"/>
      <c r="L439" s="8"/>
      <c r="M439" s="8"/>
    </row>
    <row r="440" spans="11:13" ht="15.5" x14ac:dyDescent="0.35">
      <c r="K440" s="8"/>
      <c r="L440" s="8"/>
      <c r="M440" s="8"/>
    </row>
    <row r="441" spans="11:13" ht="15.5" x14ac:dyDescent="0.35">
      <c r="K441" s="8"/>
      <c r="L441" s="8"/>
      <c r="M441" s="8"/>
    </row>
    <row r="442" spans="11:13" ht="15.5" x14ac:dyDescent="0.35">
      <c r="K442" s="8"/>
      <c r="L442" s="8"/>
      <c r="M442" s="8"/>
    </row>
    <row r="443" spans="11:13" ht="15.5" x14ac:dyDescent="0.35">
      <c r="K443" s="8"/>
      <c r="L443" s="8"/>
      <c r="M443" s="8"/>
    </row>
    <row r="444" spans="11:13" ht="15.5" x14ac:dyDescent="0.35">
      <c r="K444" s="8"/>
      <c r="L444" s="8"/>
      <c r="M444" s="8"/>
    </row>
    <row r="445" spans="11:13" ht="15.5" x14ac:dyDescent="0.35">
      <c r="K445" s="8"/>
      <c r="L445" s="8"/>
      <c r="M445" s="8"/>
    </row>
    <row r="446" spans="11:13" ht="15.5" x14ac:dyDescent="0.35">
      <c r="K446" s="8"/>
      <c r="L446" s="8"/>
      <c r="M446" s="8"/>
    </row>
    <row r="447" spans="11:13" ht="15.5" x14ac:dyDescent="0.35">
      <c r="K447" s="8"/>
      <c r="L447" s="8"/>
      <c r="M447" s="8"/>
    </row>
    <row r="448" spans="11:13" ht="15.5" x14ac:dyDescent="0.35">
      <c r="K448" s="8"/>
      <c r="L448" s="8"/>
      <c r="M448" s="8"/>
    </row>
    <row r="449" spans="11:13" ht="15.5" x14ac:dyDescent="0.35">
      <c r="K449" s="8"/>
      <c r="L449" s="8"/>
      <c r="M449" s="8"/>
    </row>
    <row r="450" spans="11:13" ht="15.5" x14ac:dyDescent="0.35">
      <c r="K450" s="8"/>
      <c r="L450" s="8"/>
      <c r="M450" s="8"/>
    </row>
    <row r="451" spans="11:13" ht="15.5" x14ac:dyDescent="0.35">
      <c r="K451" s="8"/>
      <c r="L451" s="8"/>
      <c r="M451" s="8"/>
    </row>
    <row r="452" spans="11:13" ht="15.5" x14ac:dyDescent="0.35">
      <c r="K452" s="8"/>
      <c r="L452" s="8"/>
      <c r="M452" s="8"/>
    </row>
    <row r="453" spans="11:13" ht="15.5" x14ac:dyDescent="0.35">
      <c r="K453" s="8"/>
      <c r="L453" s="8"/>
      <c r="M453" s="8"/>
    </row>
    <row r="454" spans="11:13" ht="15.5" x14ac:dyDescent="0.35">
      <c r="K454" s="8"/>
      <c r="L454" s="8"/>
      <c r="M454" s="8"/>
    </row>
    <row r="455" spans="11:13" ht="15.5" x14ac:dyDescent="0.35">
      <c r="K455" s="8"/>
      <c r="L455" s="8"/>
      <c r="M455" s="8"/>
    </row>
    <row r="456" spans="11:13" ht="15.5" x14ac:dyDescent="0.35">
      <c r="K456" s="8"/>
      <c r="L456" s="8"/>
      <c r="M456" s="8"/>
    </row>
    <row r="457" spans="11:13" ht="15.5" x14ac:dyDescent="0.35">
      <c r="K457" s="8"/>
      <c r="L457" s="8"/>
      <c r="M457" s="8"/>
    </row>
    <row r="458" spans="11:13" ht="15.5" x14ac:dyDescent="0.35">
      <c r="K458" s="8"/>
      <c r="L458" s="8"/>
      <c r="M458" s="8"/>
    </row>
    <row r="459" spans="11:13" ht="15.5" x14ac:dyDescent="0.35">
      <c r="K459" s="8"/>
      <c r="L459" s="8"/>
      <c r="M459" s="8"/>
    </row>
    <row r="460" spans="11:13" ht="15.5" x14ac:dyDescent="0.35">
      <c r="K460" s="8"/>
      <c r="L460" s="8"/>
      <c r="M460" s="8"/>
    </row>
    <row r="461" spans="11:13" ht="15.5" x14ac:dyDescent="0.35">
      <c r="K461" s="8"/>
      <c r="L461" s="8"/>
      <c r="M461" s="8"/>
    </row>
    <row r="462" spans="11:13" ht="15.5" x14ac:dyDescent="0.35">
      <c r="K462" s="8"/>
      <c r="L462" s="8"/>
      <c r="M462" s="8"/>
    </row>
    <row r="463" spans="11:13" ht="15.5" x14ac:dyDescent="0.35">
      <c r="K463" s="8"/>
      <c r="L463" s="8"/>
      <c r="M463" s="8"/>
    </row>
    <row r="464" spans="11:13" ht="15.5" x14ac:dyDescent="0.35">
      <c r="K464" s="8"/>
      <c r="L464" s="8"/>
      <c r="M464" s="8"/>
    </row>
    <row r="465" spans="11:13" ht="15.5" x14ac:dyDescent="0.35">
      <c r="K465" s="8"/>
      <c r="L465" s="8"/>
      <c r="M465" s="8"/>
    </row>
    <row r="466" spans="11:13" ht="15.5" x14ac:dyDescent="0.35">
      <c r="K466" s="8"/>
      <c r="L466" s="8"/>
      <c r="M466" s="8"/>
    </row>
    <row r="467" spans="11:13" ht="15.5" x14ac:dyDescent="0.35">
      <c r="K467" s="8"/>
      <c r="L467" s="8"/>
      <c r="M467" s="8"/>
    </row>
    <row r="468" spans="11:13" ht="15.5" x14ac:dyDescent="0.35">
      <c r="K468" s="8"/>
      <c r="L468" s="8"/>
      <c r="M468" s="8"/>
    </row>
    <row r="469" spans="11:13" ht="15.5" x14ac:dyDescent="0.35">
      <c r="K469" s="8"/>
      <c r="L469" s="8"/>
      <c r="M469" s="8"/>
    </row>
    <row r="470" spans="11:13" ht="15.5" x14ac:dyDescent="0.35">
      <c r="K470" s="8"/>
      <c r="L470" s="8"/>
      <c r="M470" s="8"/>
    </row>
    <row r="471" spans="11:13" ht="15.5" x14ac:dyDescent="0.35">
      <c r="K471" s="8"/>
      <c r="L471" s="8"/>
      <c r="M471" s="8"/>
    </row>
    <row r="472" spans="11:13" ht="15.5" x14ac:dyDescent="0.35">
      <c r="K472" s="8"/>
      <c r="L472" s="8"/>
      <c r="M472" s="8"/>
    </row>
    <row r="473" spans="11:13" ht="15.5" x14ac:dyDescent="0.35">
      <c r="K473" s="8"/>
      <c r="L473" s="8"/>
      <c r="M473" s="8"/>
    </row>
    <row r="474" spans="11:13" ht="15.5" x14ac:dyDescent="0.35">
      <c r="K474" s="8"/>
      <c r="L474" s="8"/>
      <c r="M474" s="8"/>
    </row>
    <row r="475" spans="11:13" ht="15.5" x14ac:dyDescent="0.35">
      <c r="K475" s="8"/>
      <c r="L475" s="8"/>
      <c r="M475" s="8"/>
    </row>
    <row r="476" spans="11:13" ht="15.5" x14ac:dyDescent="0.35">
      <c r="K476" s="8"/>
      <c r="L476" s="8"/>
      <c r="M476" s="8"/>
    </row>
    <row r="477" spans="11:13" ht="15.5" x14ac:dyDescent="0.35">
      <c r="K477" s="8"/>
      <c r="L477" s="8"/>
      <c r="M477" s="8"/>
    </row>
    <row r="478" spans="11:13" ht="15.5" x14ac:dyDescent="0.35">
      <c r="K478" s="8"/>
      <c r="L478" s="8"/>
      <c r="M478" s="8"/>
    </row>
    <row r="479" spans="11:13" ht="15.5" x14ac:dyDescent="0.35">
      <c r="K479" s="8"/>
      <c r="L479" s="8"/>
      <c r="M479" s="8"/>
    </row>
    <row r="480" spans="11:13" ht="15.5" x14ac:dyDescent="0.35">
      <c r="K480" s="8"/>
      <c r="L480" s="8"/>
      <c r="M480" s="8"/>
    </row>
    <row r="481" spans="11:13" ht="15.5" x14ac:dyDescent="0.35">
      <c r="K481" s="8"/>
      <c r="L481" s="8"/>
      <c r="M481" s="8"/>
    </row>
    <row r="482" spans="11:13" ht="15.5" x14ac:dyDescent="0.35">
      <c r="K482" s="8"/>
      <c r="L482" s="8"/>
      <c r="M482" s="8"/>
    </row>
    <row r="483" spans="11:13" ht="15.5" x14ac:dyDescent="0.35">
      <c r="K483" s="8"/>
      <c r="L483" s="8"/>
      <c r="M483" s="8"/>
    </row>
    <row r="484" spans="11:13" ht="15.5" x14ac:dyDescent="0.35">
      <c r="K484" s="8"/>
      <c r="L484" s="8"/>
      <c r="M484" s="8"/>
    </row>
    <row r="485" spans="11:13" ht="15.5" x14ac:dyDescent="0.35">
      <c r="K485" s="8"/>
      <c r="L485" s="8"/>
      <c r="M485" s="8"/>
    </row>
    <row r="486" spans="11:13" ht="15.5" x14ac:dyDescent="0.35">
      <c r="K486" s="8"/>
      <c r="L486" s="8"/>
      <c r="M486" s="8"/>
    </row>
    <row r="487" spans="11:13" ht="15.5" x14ac:dyDescent="0.35">
      <c r="K487" s="8"/>
      <c r="L487" s="8"/>
      <c r="M487" s="8"/>
    </row>
    <row r="488" spans="11:13" ht="15.5" x14ac:dyDescent="0.35">
      <c r="K488" s="8"/>
      <c r="L488" s="8"/>
      <c r="M488" s="8"/>
    </row>
    <row r="489" spans="11:13" ht="15.5" x14ac:dyDescent="0.35">
      <c r="K489" s="8"/>
      <c r="L489" s="8"/>
      <c r="M489" s="8"/>
    </row>
    <row r="490" spans="11:13" ht="15.5" x14ac:dyDescent="0.35">
      <c r="K490" s="8"/>
      <c r="L490" s="8"/>
      <c r="M490" s="8"/>
    </row>
    <row r="491" spans="11:13" ht="15.5" x14ac:dyDescent="0.35">
      <c r="K491" s="8"/>
      <c r="L491" s="8"/>
      <c r="M491" s="8"/>
    </row>
    <row r="492" spans="11:13" ht="15.5" x14ac:dyDescent="0.35">
      <c r="K492" s="8"/>
      <c r="L492" s="8"/>
      <c r="M492" s="8"/>
    </row>
    <row r="493" spans="11:13" ht="15.5" x14ac:dyDescent="0.35">
      <c r="K493" s="8"/>
      <c r="L493" s="8"/>
      <c r="M493" s="8"/>
    </row>
    <row r="494" spans="11:13" ht="15.5" x14ac:dyDescent="0.35">
      <c r="K494" s="8"/>
      <c r="L494" s="8"/>
      <c r="M494" s="8"/>
    </row>
    <row r="495" spans="11:13" ht="15.5" x14ac:dyDescent="0.35">
      <c r="K495" s="8"/>
      <c r="L495" s="8"/>
      <c r="M495" s="8"/>
    </row>
    <row r="496" spans="11:13" ht="15.5" x14ac:dyDescent="0.35">
      <c r="K496" s="8"/>
      <c r="L496" s="8"/>
      <c r="M496" s="8"/>
    </row>
    <row r="497" spans="11:13" ht="15.5" x14ac:dyDescent="0.35">
      <c r="K497" s="8"/>
      <c r="L497" s="8"/>
      <c r="M497" s="8"/>
    </row>
    <row r="498" spans="11:13" ht="15.5" x14ac:dyDescent="0.35">
      <c r="K498" s="8"/>
      <c r="L498" s="8"/>
      <c r="M498" s="8"/>
    </row>
    <row r="499" spans="11:13" ht="15.5" x14ac:dyDescent="0.35">
      <c r="K499" s="8"/>
      <c r="L499" s="8"/>
      <c r="M499" s="8"/>
    </row>
    <row r="500" spans="11:13" ht="15.5" x14ac:dyDescent="0.35">
      <c r="K500" s="8"/>
      <c r="L500" s="8"/>
      <c r="M500" s="8"/>
    </row>
    <row r="501" spans="11:13" ht="15.5" x14ac:dyDescent="0.35">
      <c r="K501" s="8"/>
      <c r="L501" s="8"/>
      <c r="M501" s="8"/>
    </row>
    <row r="502" spans="11:13" ht="15.5" x14ac:dyDescent="0.35">
      <c r="K502" s="8"/>
      <c r="L502" s="8"/>
      <c r="M502" s="8"/>
    </row>
    <row r="503" spans="11:13" ht="15.5" x14ac:dyDescent="0.35">
      <c r="K503" s="8"/>
      <c r="L503" s="8"/>
      <c r="M503" s="8"/>
    </row>
    <row r="504" spans="11:13" ht="15.5" x14ac:dyDescent="0.35">
      <c r="K504" s="8"/>
      <c r="L504" s="8"/>
      <c r="M504" s="8"/>
    </row>
    <row r="505" spans="11:13" ht="15.5" x14ac:dyDescent="0.35">
      <c r="K505" s="8"/>
      <c r="L505" s="8"/>
      <c r="M505" s="8"/>
    </row>
    <row r="506" spans="11:13" ht="15.5" x14ac:dyDescent="0.35">
      <c r="K506" s="8"/>
      <c r="L506" s="8"/>
      <c r="M506" s="8"/>
    </row>
    <row r="507" spans="11:13" ht="15.5" x14ac:dyDescent="0.35">
      <c r="K507" s="8"/>
      <c r="L507" s="8"/>
      <c r="M507" s="8"/>
    </row>
    <row r="508" spans="11:13" ht="15.5" x14ac:dyDescent="0.35">
      <c r="K508" s="8"/>
      <c r="L508" s="8"/>
      <c r="M508" s="8"/>
    </row>
    <row r="509" spans="11:13" ht="15.5" x14ac:dyDescent="0.35">
      <c r="K509" s="8"/>
      <c r="L509" s="8"/>
      <c r="M509" s="8"/>
    </row>
    <row r="510" spans="11:13" ht="15.5" x14ac:dyDescent="0.35">
      <c r="K510" s="8"/>
      <c r="L510" s="8"/>
      <c r="M510" s="8"/>
    </row>
    <row r="511" spans="11:13" ht="15.5" x14ac:dyDescent="0.35">
      <c r="K511" s="8"/>
      <c r="L511" s="8"/>
      <c r="M511" s="8"/>
    </row>
    <row r="512" spans="11:13" ht="15.5" x14ac:dyDescent="0.35">
      <c r="K512" s="8"/>
      <c r="L512" s="8"/>
      <c r="M512" s="8"/>
    </row>
    <row r="513" spans="11:13" ht="15.5" x14ac:dyDescent="0.35">
      <c r="K513" s="8"/>
      <c r="L513" s="8"/>
      <c r="M513" s="8"/>
    </row>
    <row r="514" spans="11:13" ht="15.5" x14ac:dyDescent="0.35">
      <c r="K514" s="8"/>
      <c r="L514" s="8"/>
      <c r="M514" s="8"/>
    </row>
    <row r="515" spans="11:13" ht="15.5" x14ac:dyDescent="0.35">
      <c r="K515" s="8"/>
      <c r="L515" s="8"/>
      <c r="M515" s="8"/>
    </row>
    <row r="516" spans="11:13" ht="15.5" x14ac:dyDescent="0.35">
      <c r="K516" s="8"/>
      <c r="L516" s="8"/>
      <c r="M516" s="8"/>
    </row>
    <row r="517" spans="11:13" ht="15.5" x14ac:dyDescent="0.35">
      <c r="K517" s="8"/>
      <c r="L517" s="8"/>
      <c r="M517" s="8"/>
    </row>
    <row r="518" spans="11:13" ht="15.5" x14ac:dyDescent="0.35">
      <c r="K518" s="8"/>
      <c r="L518" s="8"/>
      <c r="M518" s="8"/>
    </row>
    <row r="519" spans="11:13" ht="15.5" x14ac:dyDescent="0.35">
      <c r="K519" s="8"/>
      <c r="L519" s="8"/>
      <c r="M519" s="8"/>
    </row>
    <row r="520" spans="11:13" ht="15.5" x14ac:dyDescent="0.35">
      <c r="K520" s="8"/>
      <c r="L520" s="8"/>
      <c r="M520" s="8"/>
    </row>
    <row r="521" spans="11:13" ht="15.5" x14ac:dyDescent="0.35">
      <c r="K521" s="8"/>
      <c r="L521" s="8"/>
      <c r="M521" s="8"/>
    </row>
    <row r="522" spans="11:13" ht="15.5" x14ac:dyDescent="0.35">
      <c r="K522" s="8"/>
      <c r="L522" s="8"/>
      <c r="M522" s="8"/>
    </row>
    <row r="523" spans="11:13" ht="15.5" x14ac:dyDescent="0.35">
      <c r="K523" s="8"/>
      <c r="L523" s="8"/>
      <c r="M523" s="8"/>
    </row>
    <row r="524" spans="11:13" ht="15.5" x14ac:dyDescent="0.35">
      <c r="K524" s="8"/>
      <c r="L524" s="8"/>
      <c r="M524" s="8"/>
    </row>
    <row r="525" spans="11:13" ht="15.5" x14ac:dyDescent="0.35">
      <c r="K525" s="8"/>
      <c r="L525" s="8"/>
      <c r="M525" s="8"/>
    </row>
    <row r="526" spans="11:13" ht="15.5" x14ac:dyDescent="0.35">
      <c r="K526" s="8"/>
      <c r="L526" s="8"/>
      <c r="M526" s="8"/>
    </row>
    <row r="527" spans="11:13" ht="15.5" x14ac:dyDescent="0.35">
      <c r="K527" s="8"/>
      <c r="L527" s="8"/>
      <c r="M527" s="8"/>
    </row>
    <row r="528" spans="11:13" ht="15.5" x14ac:dyDescent="0.35">
      <c r="K528" s="8"/>
      <c r="L528" s="8"/>
      <c r="M528" s="8"/>
    </row>
    <row r="529" spans="11:13" ht="15.5" x14ac:dyDescent="0.35">
      <c r="K529" s="8"/>
      <c r="L529" s="8"/>
      <c r="M529" s="8"/>
    </row>
    <row r="530" spans="11:13" ht="15.5" x14ac:dyDescent="0.35">
      <c r="K530" s="8"/>
      <c r="L530" s="8"/>
      <c r="M530" s="8"/>
    </row>
    <row r="531" spans="11:13" ht="15.5" x14ac:dyDescent="0.35">
      <c r="K531" s="8"/>
      <c r="L531" s="8"/>
      <c r="M531" s="8"/>
    </row>
    <row r="532" spans="11:13" ht="15.5" x14ac:dyDescent="0.35">
      <c r="K532" s="8"/>
      <c r="L532" s="8"/>
      <c r="M532" s="8"/>
    </row>
    <row r="533" spans="11:13" ht="15.5" x14ac:dyDescent="0.35">
      <c r="K533" s="8"/>
      <c r="L533" s="8"/>
      <c r="M533" s="8"/>
    </row>
    <row r="534" spans="11:13" ht="15.5" x14ac:dyDescent="0.35">
      <c r="K534" s="8"/>
      <c r="L534" s="8"/>
      <c r="M534" s="8"/>
    </row>
    <row r="535" spans="11:13" ht="15.5" x14ac:dyDescent="0.35">
      <c r="K535" s="8"/>
      <c r="L535" s="8"/>
      <c r="M535" s="8"/>
    </row>
    <row r="536" spans="11:13" ht="15.5" x14ac:dyDescent="0.35">
      <c r="K536" s="8"/>
      <c r="L536" s="8"/>
      <c r="M536" s="8"/>
    </row>
    <row r="537" spans="11:13" ht="15.5" x14ac:dyDescent="0.35">
      <c r="K537" s="8"/>
      <c r="L537" s="8"/>
      <c r="M537" s="8"/>
    </row>
    <row r="538" spans="11:13" ht="15.5" x14ac:dyDescent="0.35">
      <c r="K538" s="8"/>
      <c r="L538" s="8"/>
      <c r="M538" s="8"/>
    </row>
    <row r="539" spans="11:13" ht="15.5" x14ac:dyDescent="0.35">
      <c r="K539" s="8"/>
      <c r="L539" s="8"/>
      <c r="M539" s="8"/>
    </row>
    <row r="540" spans="11:13" ht="15.5" x14ac:dyDescent="0.35">
      <c r="K540" s="8"/>
      <c r="L540" s="8"/>
      <c r="M540" s="8"/>
    </row>
    <row r="541" spans="11:13" ht="15.5" x14ac:dyDescent="0.35">
      <c r="K541" s="8"/>
      <c r="L541" s="8"/>
      <c r="M541" s="8"/>
    </row>
    <row r="542" spans="11:13" ht="15.5" x14ac:dyDescent="0.35">
      <c r="K542" s="8"/>
      <c r="L542" s="8"/>
      <c r="M542" s="8"/>
    </row>
    <row r="543" spans="11:13" ht="15.5" x14ac:dyDescent="0.35">
      <c r="K543" s="8"/>
      <c r="L543" s="8"/>
      <c r="M543" s="8"/>
    </row>
    <row r="544" spans="11:13" ht="15.5" x14ac:dyDescent="0.35">
      <c r="K544" s="8"/>
      <c r="L544" s="8"/>
      <c r="M544" s="8"/>
    </row>
    <row r="545" spans="11:13" ht="15.5" x14ac:dyDescent="0.35">
      <c r="K545" s="8"/>
      <c r="L545" s="8"/>
      <c r="M545" s="8"/>
    </row>
    <row r="546" spans="11:13" ht="15.5" x14ac:dyDescent="0.35">
      <c r="K546" s="8"/>
      <c r="L546" s="8"/>
      <c r="M546" s="8"/>
    </row>
    <row r="547" spans="11:13" ht="15.5" x14ac:dyDescent="0.35">
      <c r="K547" s="8"/>
      <c r="L547" s="8"/>
      <c r="M547" s="8"/>
    </row>
    <row r="548" spans="11:13" ht="15.5" x14ac:dyDescent="0.35">
      <c r="K548" s="8"/>
      <c r="L548" s="8"/>
      <c r="M548" s="8"/>
    </row>
    <row r="549" spans="11:13" ht="15.5" x14ac:dyDescent="0.35">
      <c r="K549" s="8"/>
      <c r="L549" s="8"/>
      <c r="M549" s="8"/>
    </row>
    <row r="550" spans="11:13" ht="15.5" x14ac:dyDescent="0.35">
      <c r="K550" s="8"/>
      <c r="L550" s="8"/>
      <c r="M550" s="8"/>
    </row>
    <row r="551" spans="11:13" ht="15.5" x14ac:dyDescent="0.35">
      <c r="K551" s="8"/>
      <c r="L551" s="8"/>
      <c r="M551" s="8"/>
    </row>
    <row r="552" spans="11:13" ht="15.5" x14ac:dyDescent="0.35">
      <c r="K552" s="8"/>
      <c r="L552" s="8"/>
      <c r="M552" s="8"/>
    </row>
    <row r="553" spans="11:13" ht="15.5" x14ac:dyDescent="0.35">
      <c r="K553" s="8"/>
      <c r="L553" s="8"/>
      <c r="M553" s="8"/>
    </row>
    <row r="554" spans="11:13" ht="15.5" x14ac:dyDescent="0.35">
      <c r="K554" s="8"/>
      <c r="L554" s="8"/>
      <c r="M554" s="8"/>
    </row>
    <row r="555" spans="11:13" ht="15.5" x14ac:dyDescent="0.35">
      <c r="K555" s="8"/>
      <c r="L555" s="8"/>
      <c r="M555" s="8"/>
    </row>
    <row r="556" spans="11:13" ht="15.5" x14ac:dyDescent="0.35">
      <c r="K556" s="8"/>
      <c r="L556" s="8"/>
      <c r="M556" s="8"/>
    </row>
    <row r="557" spans="11:13" ht="15.5" x14ac:dyDescent="0.35">
      <c r="K557" s="8"/>
      <c r="L557" s="8"/>
      <c r="M557" s="8"/>
    </row>
    <row r="558" spans="11:13" ht="15.5" x14ac:dyDescent="0.35">
      <c r="K558" s="8"/>
      <c r="L558" s="8"/>
      <c r="M558" s="8"/>
    </row>
    <row r="559" spans="11:13" ht="15.5" x14ac:dyDescent="0.35">
      <c r="K559" s="8"/>
      <c r="L559" s="8"/>
      <c r="M559" s="8"/>
    </row>
    <row r="560" spans="11:13" ht="15.5" x14ac:dyDescent="0.35">
      <c r="K560" s="8"/>
      <c r="L560" s="8"/>
      <c r="M560" s="8"/>
    </row>
    <row r="561" spans="11:13" ht="15.5" x14ac:dyDescent="0.35">
      <c r="K561" s="8"/>
      <c r="L561" s="8"/>
      <c r="M561" s="8"/>
    </row>
    <row r="562" spans="11:13" ht="15.5" x14ac:dyDescent="0.35">
      <c r="K562" s="8"/>
      <c r="L562" s="8"/>
      <c r="M562" s="8"/>
    </row>
    <row r="563" spans="11:13" ht="15.5" x14ac:dyDescent="0.35">
      <c r="K563" s="8"/>
      <c r="L563" s="8"/>
      <c r="M563" s="8"/>
    </row>
    <row r="564" spans="11:13" ht="15.5" x14ac:dyDescent="0.35">
      <c r="K564" s="8"/>
      <c r="L564" s="8"/>
      <c r="M564" s="8"/>
    </row>
    <row r="565" spans="11:13" ht="15.5" x14ac:dyDescent="0.35">
      <c r="K565" s="8"/>
      <c r="L565" s="8"/>
      <c r="M565" s="8"/>
    </row>
    <row r="566" spans="11:13" ht="15.5" x14ac:dyDescent="0.35">
      <c r="K566" s="8"/>
      <c r="L566" s="8"/>
      <c r="M566" s="8"/>
    </row>
    <row r="567" spans="11:13" ht="15.5" x14ac:dyDescent="0.35">
      <c r="K567" s="8"/>
      <c r="L567" s="8"/>
      <c r="M567" s="8"/>
    </row>
    <row r="568" spans="11:13" ht="15.5" x14ac:dyDescent="0.35">
      <c r="K568" s="8"/>
      <c r="L568" s="8"/>
      <c r="M568" s="8"/>
    </row>
    <row r="569" spans="11:13" ht="15.5" x14ac:dyDescent="0.35">
      <c r="K569" s="8"/>
      <c r="L569" s="8"/>
      <c r="M569" s="8"/>
    </row>
    <row r="570" spans="11:13" ht="15.5" x14ac:dyDescent="0.35">
      <c r="K570" s="8"/>
      <c r="L570" s="8"/>
      <c r="M570" s="8"/>
    </row>
    <row r="571" spans="11:13" ht="15.5" x14ac:dyDescent="0.35">
      <c r="K571" s="8"/>
      <c r="L571" s="8"/>
      <c r="M571" s="8"/>
    </row>
    <row r="572" spans="11:13" ht="15.5" x14ac:dyDescent="0.35">
      <c r="K572" s="8"/>
      <c r="L572" s="8"/>
      <c r="M572" s="8"/>
    </row>
    <row r="573" spans="11:13" ht="15.5" x14ac:dyDescent="0.35">
      <c r="K573" s="8"/>
      <c r="L573" s="8"/>
      <c r="M573" s="8"/>
    </row>
    <row r="574" spans="11:13" ht="15.5" x14ac:dyDescent="0.35">
      <c r="K574" s="8"/>
      <c r="L574" s="8"/>
      <c r="M574" s="8"/>
    </row>
    <row r="575" spans="11:13" ht="15.5" x14ac:dyDescent="0.35">
      <c r="K575" s="8"/>
      <c r="L575" s="8"/>
      <c r="M575" s="8"/>
    </row>
    <row r="576" spans="11:13" ht="15.5" x14ac:dyDescent="0.35">
      <c r="K576" s="8"/>
      <c r="L576" s="8"/>
      <c r="M576" s="8"/>
    </row>
    <row r="577" spans="11:13" ht="15.5" x14ac:dyDescent="0.35">
      <c r="K577" s="8"/>
      <c r="L577" s="8"/>
      <c r="M577" s="8"/>
    </row>
    <row r="578" spans="11:13" ht="15.5" x14ac:dyDescent="0.35">
      <c r="K578" s="8"/>
      <c r="L578" s="8"/>
      <c r="M578" s="8"/>
    </row>
    <row r="579" spans="11:13" ht="15.5" x14ac:dyDescent="0.35">
      <c r="K579" s="8"/>
      <c r="L579" s="8"/>
      <c r="M579" s="8"/>
    </row>
    <row r="580" spans="11:13" ht="15.5" x14ac:dyDescent="0.35">
      <c r="K580" s="8"/>
      <c r="L580" s="8"/>
      <c r="M580" s="8"/>
    </row>
    <row r="581" spans="11:13" ht="15.5" x14ac:dyDescent="0.35">
      <c r="K581" s="8"/>
      <c r="L581" s="8"/>
      <c r="M581" s="8"/>
    </row>
    <row r="582" spans="11:13" ht="15.5" x14ac:dyDescent="0.35">
      <c r="K582" s="8"/>
      <c r="L582" s="8"/>
      <c r="M582" s="8"/>
    </row>
    <row r="583" spans="11:13" ht="15.5" x14ac:dyDescent="0.35">
      <c r="K583" s="8"/>
      <c r="L583" s="8"/>
      <c r="M583" s="8"/>
    </row>
    <row r="584" spans="11:13" ht="15.5" x14ac:dyDescent="0.35">
      <c r="K584" s="8"/>
      <c r="L584" s="8"/>
      <c r="M584" s="8"/>
    </row>
    <row r="585" spans="11:13" ht="15.5" x14ac:dyDescent="0.35">
      <c r="K585" s="8"/>
      <c r="L585" s="8"/>
      <c r="M585" s="8"/>
    </row>
    <row r="586" spans="11:13" ht="15.5" x14ac:dyDescent="0.35">
      <c r="K586" s="8"/>
      <c r="L586" s="8"/>
      <c r="M586" s="8"/>
    </row>
    <row r="587" spans="11:13" ht="15.5" x14ac:dyDescent="0.35">
      <c r="K587" s="8"/>
      <c r="L587" s="8"/>
      <c r="M587" s="8"/>
    </row>
    <row r="588" spans="11:13" ht="15.5" x14ac:dyDescent="0.35">
      <c r="K588" s="8"/>
      <c r="L588" s="8"/>
      <c r="M588" s="8"/>
    </row>
    <row r="589" spans="11:13" ht="15.5" x14ac:dyDescent="0.35">
      <c r="K589" s="8"/>
      <c r="L589" s="8"/>
      <c r="M589" s="8"/>
    </row>
    <row r="590" spans="11:13" ht="15.5" x14ac:dyDescent="0.35">
      <c r="K590" s="8"/>
      <c r="L590" s="8"/>
      <c r="M590" s="8"/>
    </row>
    <row r="591" spans="11:13" ht="15.5" x14ac:dyDescent="0.35">
      <c r="K591" s="8"/>
      <c r="L591" s="8"/>
      <c r="M591" s="8"/>
    </row>
    <row r="592" spans="11:13" ht="15.5" x14ac:dyDescent="0.35">
      <c r="K592" s="8"/>
      <c r="L592" s="8"/>
      <c r="M592" s="8"/>
    </row>
    <row r="593" spans="11:13" ht="15.5" x14ac:dyDescent="0.35">
      <c r="K593" s="8"/>
      <c r="L593" s="8"/>
      <c r="M593" s="8"/>
    </row>
    <row r="594" spans="11:13" ht="15.5" x14ac:dyDescent="0.35">
      <c r="K594" s="8"/>
      <c r="L594" s="8"/>
      <c r="M594" s="8"/>
    </row>
    <row r="595" spans="11:13" ht="15.5" x14ac:dyDescent="0.35">
      <c r="K595" s="8"/>
      <c r="L595" s="8"/>
      <c r="M595" s="8"/>
    </row>
    <row r="596" spans="11:13" ht="15.5" x14ac:dyDescent="0.35">
      <c r="K596" s="8"/>
      <c r="L596" s="8"/>
      <c r="M596" s="8"/>
    </row>
    <row r="597" spans="11:13" ht="15.5" x14ac:dyDescent="0.35">
      <c r="K597" s="8"/>
      <c r="L597" s="8"/>
      <c r="M597" s="8"/>
    </row>
    <row r="598" spans="11:13" ht="15.5" x14ac:dyDescent="0.35">
      <c r="K598" s="8"/>
      <c r="L598" s="8"/>
      <c r="M598" s="8"/>
    </row>
    <row r="599" spans="11:13" ht="15.5" x14ac:dyDescent="0.35">
      <c r="K599" s="8"/>
      <c r="L599" s="8"/>
      <c r="M599" s="8"/>
    </row>
    <row r="600" spans="11:13" ht="15.5" x14ac:dyDescent="0.35">
      <c r="K600" s="8"/>
      <c r="L600" s="8"/>
      <c r="M600" s="8"/>
    </row>
    <row r="601" spans="11:13" ht="15.5" x14ac:dyDescent="0.35">
      <c r="K601" s="8"/>
      <c r="L601" s="8"/>
      <c r="M601" s="8"/>
    </row>
    <row r="602" spans="11:13" ht="15.5" x14ac:dyDescent="0.35">
      <c r="K602" s="8"/>
      <c r="L602" s="8"/>
      <c r="M602" s="8"/>
    </row>
    <row r="603" spans="11:13" ht="15.5" x14ac:dyDescent="0.35">
      <c r="K603" s="8"/>
      <c r="L603" s="8"/>
      <c r="M603" s="8"/>
    </row>
    <row r="604" spans="11:13" ht="15.5" x14ac:dyDescent="0.35">
      <c r="K604" s="8"/>
      <c r="L604" s="8"/>
      <c r="M604" s="8"/>
    </row>
    <row r="605" spans="11:13" ht="15.5" x14ac:dyDescent="0.35">
      <c r="K605" s="8"/>
      <c r="L605" s="8"/>
      <c r="M605" s="8"/>
    </row>
    <row r="606" spans="11:13" ht="15.5" x14ac:dyDescent="0.35">
      <c r="K606" s="8"/>
      <c r="L606" s="8"/>
      <c r="M606" s="8"/>
    </row>
    <row r="607" spans="11:13" ht="15.5" x14ac:dyDescent="0.35">
      <c r="K607" s="8"/>
      <c r="L607" s="8"/>
      <c r="M607" s="8"/>
    </row>
    <row r="608" spans="11:13" ht="15.5" x14ac:dyDescent="0.35">
      <c r="K608" s="8"/>
      <c r="L608" s="8"/>
      <c r="M608" s="8"/>
    </row>
    <row r="609" spans="11:13" ht="15.5" x14ac:dyDescent="0.35">
      <c r="K609" s="8"/>
      <c r="L609" s="8"/>
      <c r="M609" s="8"/>
    </row>
    <row r="610" spans="11:13" ht="15.5" x14ac:dyDescent="0.35">
      <c r="K610" s="8"/>
      <c r="L610" s="8"/>
      <c r="M610" s="8"/>
    </row>
    <row r="611" spans="11:13" ht="15.5" x14ac:dyDescent="0.35">
      <c r="K611" s="8"/>
      <c r="L611" s="8"/>
      <c r="M611" s="8"/>
    </row>
    <row r="612" spans="11:13" ht="15.5" x14ac:dyDescent="0.35">
      <c r="K612" s="8"/>
      <c r="L612" s="8"/>
      <c r="M612" s="8"/>
    </row>
    <row r="613" spans="11:13" ht="15.5" x14ac:dyDescent="0.35">
      <c r="K613" s="8"/>
      <c r="L613" s="8"/>
      <c r="M613" s="8"/>
    </row>
    <row r="614" spans="11:13" ht="15.5" x14ac:dyDescent="0.35">
      <c r="K614" s="8"/>
      <c r="L614" s="8"/>
      <c r="M614" s="8"/>
    </row>
    <row r="615" spans="11:13" ht="15.5" x14ac:dyDescent="0.35">
      <c r="K615" s="8"/>
      <c r="L615" s="8"/>
      <c r="M615" s="8"/>
    </row>
    <row r="616" spans="11:13" ht="15.5" x14ac:dyDescent="0.35">
      <c r="K616" s="8"/>
      <c r="L616" s="8"/>
      <c r="M616" s="8"/>
    </row>
    <row r="617" spans="11:13" ht="15.5" x14ac:dyDescent="0.35">
      <c r="K617" s="8"/>
      <c r="L617" s="8"/>
      <c r="M617" s="8"/>
    </row>
    <row r="618" spans="11:13" ht="15.5" x14ac:dyDescent="0.35">
      <c r="K618" s="8"/>
      <c r="L618" s="8"/>
      <c r="M618" s="8"/>
    </row>
    <row r="619" spans="11:13" ht="15.5" x14ac:dyDescent="0.35">
      <c r="K619" s="8"/>
      <c r="L619" s="8"/>
      <c r="M619" s="8"/>
    </row>
    <row r="620" spans="11:13" ht="15.5" x14ac:dyDescent="0.35">
      <c r="K620" s="8"/>
      <c r="L620" s="8"/>
      <c r="M620" s="8"/>
    </row>
    <row r="621" spans="11:13" ht="15.5" x14ac:dyDescent="0.35">
      <c r="K621" s="8"/>
      <c r="L621" s="8"/>
      <c r="M621" s="8"/>
    </row>
    <row r="622" spans="11:13" ht="15.5" x14ac:dyDescent="0.35">
      <c r="K622" s="8"/>
      <c r="L622" s="8"/>
      <c r="M622" s="8"/>
    </row>
    <row r="623" spans="11:13" ht="15.5" x14ac:dyDescent="0.35">
      <c r="K623" s="8"/>
      <c r="L623" s="8"/>
      <c r="M623" s="8"/>
    </row>
    <row r="624" spans="11:13" ht="15.5" x14ac:dyDescent="0.35">
      <c r="K624" s="8"/>
      <c r="L624" s="8"/>
      <c r="M624" s="8"/>
    </row>
    <row r="625" spans="11:13" ht="15.5" x14ac:dyDescent="0.35">
      <c r="K625" s="8"/>
      <c r="L625" s="8"/>
      <c r="M625" s="8"/>
    </row>
    <row r="626" spans="11:13" ht="15.5" x14ac:dyDescent="0.35">
      <c r="K626" s="8"/>
      <c r="L626" s="8"/>
      <c r="M626" s="8"/>
    </row>
    <row r="627" spans="11:13" ht="15.5" x14ac:dyDescent="0.35">
      <c r="K627" s="8"/>
      <c r="L627" s="8"/>
      <c r="M627" s="8"/>
    </row>
    <row r="628" spans="11:13" ht="15.5" x14ac:dyDescent="0.35">
      <c r="K628" s="8"/>
      <c r="L628" s="8"/>
      <c r="M628" s="8"/>
    </row>
    <row r="629" spans="11:13" ht="15.5" x14ac:dyDescent="0.35">
      <c r="K629" s="8"/>
      <c r="L629" s="8"/>
      <c r="M629" s="8"/>
    </row>
    <row r="630" spans="11:13" ht="15.5" x14ac:dyDescent="0.35">
      <c r="K630" s="8"/>
      <c r="L630" s="8"/>
      <c r="M630" s="8"/>
    </row>
    <row r="631" spans="11:13" ht="15.5" x14ac:dyDescent="0.35">
      <c r="K631" s="8"/>
      <c r="L631" s="8"/>
      <c r="M631" s="8"/>
    </row>
    <row r="632" spans="11:13" ht="15.5" x14ac:dyDescent="0.35">
      <c r="K632" s="8"/>
      <c r="L632" s="8"/>
      <c r="M632" s="8"/>
    </row>
    <row r="633" spans="11:13" ht="15.5" x14ac:dyDescent="0.35">
      <c r="K633" s="8"/>
      <c r="L633" s="8"/>
      <c r="M633" s="8"/>
    </row>
    <row r="634" spans="11:13" ht="15.5" x14ac:dyDescent="0.35">
      <c r="K634" s="8"/>
      <c r="L634" s="8"/>
      <c r="M634" s="8"/>
    </row>
    <row r="635" spans="11:13" ht="15.5" x14ac:dyDescent="0.35">
      <c r="K635" s="8"/>
      <c r="L635" s="8"/>
      <c r="M635" s="8"/>
    </row>
    <row r="636" spans="11:13" ht="15.5" x14ac:dyDescent="0.35">
      <c r="K636" s="8"/>
      <c r="L636" s="8"/>
      <c r="M636" s="8"/>
    </row>
    <row r="637" spans="11:13" ht="15.5" x14ac:dyDescent="0.35">
      <c r="K637" s="8"/>
      <c r="L637" s="8"/>
      <c r="M637" s="8"/>
    </row>
    <row r="638" spans="11:13" ht="15.5" x14ac:dyDescent="0.35">
      <c r="K638" s="8"/>
      <c r="L638" s="8"/>
      <c r="M638" s="8"/>
    </row>
    <row r="639" spans="11:13" ht="15.5" x14ac:dyDescent="0.35">
      <c r="K639" s="8"/>
      <c r="L639" s="8"/>
      <c r="M639" s="8"/>
    </row>
    <row r="640" spans="11:13" ht="15.5" x14ac:dyDescent="0.35">
      <c r="K640" s="8"/>
      <c r="L640" s="8"/>
      <c r="M640" s="8"/>
    </row>
    <row r="641" spans="11:13" ht="15.5" x14ac:dyDescent="0.35">
      <c r="K641" s="8"/>
      <c r="L641" s="8"/>
      <c r="M641" s="8"/>
    </row>
    <row r="642" spans="11:13" ht="15.5" x14ac:dyDescent="0.35">
      <c r="K642" s="8"/>
      <c r="L642" s="8"/>
      <c r="M642" s="8"/>
    </row>
    <row r="643" spans="11:13" ht="15.5" x14ac:dyDescent="0.35">
      <c r="K643" s="8"/>
      <c r="L643" s="8"/>
      <c r="M643" s="8"/>
    </row>
    <row r="644" spans="11:13" ht="15.5" x14ac:dyDescent="0.35">
      <c r="K644" s="8"/>
      <c r="L644" s="8"/>
      <c r="M644" s="8"/>
    </row>
    <row r="645" spans="11:13" ht="15.5" x14ac:dyDescent="0.35">
      <c r="K645" s="8"/>
      <c r="L645" s="8"/>
      <c r="M645" s="8"/>
    </row>
    <row r="646" spans="11:13" ht="15.5" x14ac:dyDescent="0.35">
      <c r="K646" s="8"/>
      <c r="L646" s="8"/>
      <c r="M646" s="8"/>
    </row>
    <row r="647" spans="11:13" ht="15.5" x14ac:dyDescent="0.35">
      <c r="K647" s="8"/>
      <c r="L647" s="8"/>
      <c r="M647" s="8"/>
    </row>
    <row r="648" spans="11:13" ht="15.5" x14ac:dyDescent="0.35">
      <c r="K648" s="8"/>
      <c r="L648" s="8"/>
      <c r="M648" s="8"/>
    </row>
    <row r="649" spans="11:13" ht="15.5" x14ac:dyDescent="0.35">
      <c r="K649" s="8"/>
      <c r="L649" s="8"/>
      <c r="M649" s="8"/>
    </row>
    <row r="650" spans="11:13" ht="15.5" x14ac:dyDescent="0.35">
      <c r="K650" s="8"/>
      <c r="L650" s="8"/>
      <c r="M650" s="8"/>
    </row>
    <row r="651" spans="11:13" ht="15.5" x14ac:dyDescent="0.35">
      <c r="K651" s="8"/>
      <c r="L651" s="8"/>
      <c r="M651" s="8"/>
    </row>
    <row r="652" spans="11:13" ht="15.5" x14ac:dyDescent="0.35">
      <c r="K652" s="8"/>
      <c r="L652" s="8"/>
      <c r="M652" s="8"/>
    </row>
    <row r="653" spans="11:13" ht="15.5" x14ac:dyDescent="0.35">
      <c r="K653" s="8"/>
      <c r="L653" s="8"/>
      <c r="M653" s="8"/>
    </row>
    <row r="654" spans="11:13" ht="15.5" x14ac:dyDescent="0.35">
      <c r="K654" s="8"/>
      <c r="L654" s="8"/>
      <c r="M654" s="8"/>
    </row>
    <row r="655" spans="11:13" ht="15.5" x14ac:dyDescent="0.35">
      <c r="K655" s="8"/>
      <c r="L655" s="8"/>
      <c r="M655" s="8"/>
    </row>
    <row r="656" spans="11:13" ht="15.5" x14ac:dyDescent="0.35">
      <c r="K656" s="8"/>
      <c r="L656" s="8"/>
      <c r="M656" s="8"/>
    </row>
    <row r="657" spans="11:13" ht="15.5" x14ac:dyDescent="0.35">
      <c r="K657" s="8"/>
      <c r="L657" s="8"/>
      <c r="M657" s="8"/>
    </row>
    <row r="658" spans="11:13" ht="15.5" x14ac:dyDescent="0.35">
      <c r="K658" s="8"/>
      <c r="L658" s="8"/>
      <c r="M658" s="8"/>
    </row>
    <row r="659" spans="11:13" ht="15.5" x14ac:dyDescent="0.35">
      <c r="K659" s="8"/>
      <c r="L659" s="8"/>
      <c r="M659" s="8"/>
    </row>
    <row r="660" spans="11:13" ht="15.5" x14ac:dyDescent="0.35">
      <c r="K660" s="8"/>
      <c r="L660" s="8"/>
      <c r="M660" s="8"/>
    </row>
    <row r="661" spans="11:13" ht="15.5" x14ac:dyDescent="0.35">
      <c r="K661" s="8"/>
      <c r="L661" s="8"/>
      <c r="M661" s="8"/>
    </row>
    <row r="662" spans="11:13" ht="15.5" x14ac:dyDescent="0.35">
      <c r="K662" s="8"/>
      <c r="L662" s="8"/>
      <c r="M662" s="8"/>
    </row>
    <row r="663" spans="11:13" ht="15.5" x14ac:dyDescent="0.35">
      <c r="K663" s="8"/>
      <c r="L663" s="8"/>
      <c r="M663" s="8"/>
    </row>
    <row r="664" spans="11:13" ht="15.5" x14ac:dyDescent="0.35">
      <c r="K664" s="8"/>
      <c r="L664" s="8"/>
      <c r="M664" s="8"/>
    </row>
    <row r="665" spans="11:13" ht="15.5" x14ac:dyDescent="0.35">
      <c r="K665" s="8"/>
      <c r="L665" s="8"/>
      <c r="M665" s="8"/>
    </row>
    <row r="666" spans="11:13" ht="15.5" x14ac:dyDescent="0.35">
      <c r="K666" s="8"/>
      <c r="L666" s="8"/>
      <c r="M666" s="8"/>
    </row>
    <row r="667" spans="11:13" ht="15.5" x14ac:dyDescent="0.35">
      <c r="K667" s="8"/>
      <c r="L667" s="8"/>
      <c r="M667" s="8"/>
    </row>
    <row r="668" spans="11:13" ht="15.5" x14ac:dyDescent="0.35">
      <c r="K668" s="8"/>
      <c r="L668" s="8"/>
      <c r="M668" s="8"/>
    </row>
    <row r="669" spans="11:13" ht="15.5" x14ac:dyDescent="0.35">
      <c r="K669" s="8"/>
      <c r="L669" s="8"/>
      <c r="M669" s="8"/>
    </row>
    <row r="670" spans="11:13" ht="15.5" x14ac:dyDescent="0.35">
      <c r="K670" s="8"/>
      <c r="L670" s="8"/>
      <c r="M670" s="8"/>
    </row>
    <row r="671" spans="11:13" ht="15.5" x14ac:dyDescent="0.35">
      <c r="K671" s="8"/>
      <c r="L671" s="8"/>
      <c r="M671" s="8"/>
    </row>
    <row r="672" spans="11:13" ht="15.5" x14ac:dyDescent="0.35">
      <c r="K672" s="8"/>
      <c r="L672" s="8"/>
      <c r="M672" s="8"/>
    </row>
    <row r="673" spans="11:13" ht="15.5" x14ac:dyDescent="0.35">
      <c r="K673" s="8"/>
      <c r="L673" s="8"/>
      <c r="M673" s="8"/>
    </row>
    <row r="674" spans="11:13" ht="15.5" x14ac:dyDescent="0.35">
      <c r="K674" s="8"/>
      <c r="L674" s="8"/>
      <c r="M674" s="8"/>
    </row>
    <row r="675" spans="11:13" ht="15.5" x14ac:dyDescent="0.35">
      <c r="K675" s="8"/>
      <c r="L675" s="8"/>
      <c r="M675" s="8"/>
    </row>
    <row r="676" spans="11:13" ht="15.5" x14ac:dyDescent="0.35">
      <c r="K676" s="8"/>
      <c r="L676" s="8"/>
      <c r="M676" s="8"/>
    </row>
    <row r="677" spans="11:13" ht="15.5" x14ac:dyDescent="0.35">
      <c r="K677" s="8"/>
      <c r="L677" s="8"/>
      <c r="M677" s="8"/>
    </row>
    <row r="678" spans="11:13" ht="15.5" x14ac:dyDescent="0.35">
      <c r="K678" s="8"/>
      <c r="L678" s="8"/>
      <c r="M678" s="8"/>
    </row>
    <row r="679" spans="11:13" ht="15.5" x14ac:dyDescent="0.35">
      <c r="K679" s="8"/>
      <c r="L679" s="8"/>
      <c r="M679" s="8"/>
    </row>
    <row r="680" spans="11:13" ht="15.5" x14ac:dyDescent="0.35">
      <c r="K680" s="8"/>
      <c r="L680" s="8"/>
      <c r="M680" s="8"/>
    </row>
    <row r="681" spans="11:13" ht="15.5" x14ac:dyDescent="0.35">
      <c r="K681" s="8"/>
      <c r="L681" s="8"/>
      <c r="M681" s="8"/>
    </row>
    <row r="682" spans="11:13" ht="15.5" x14ac:dyDescent="0.35">
      <c r="K682" s="8"/>
      <c r="L682" s="8"/>
      <c r="M682" s="8"/>
    </row>
    <row r="683" spans="11:13" ht="15.5" x14ac:dyDescent="0.35">
      <c r="K683" s="8"/>
      <c r="L683" s="8"/>
      <c r="M683" s="8"/>
    </row>
    <row r="684" spans="11:13" ht="15.5" x14ac:dyDescent="0.35">
      <c r="K684" s="8"/>
      <c r="L684" s="8"/>
      <c r="M684" s="8"/>
    </row>
    <row r="685" spans="11:13" ht="15.5" x14ac:dyDescent="0.35">
      <c r="K685" s="8"/>
      <c r="L685" s="8"/>
      <c r="M685" s="8"/>
    </row>
    <row r="686" spans="11:13" ht="15.5" x14ac:dyDescent="0.35">
      <c r="K686" s="8"/>
      <c r="L686" s="8"/>
      <c r="M686" s="8"/>
    </row>
    <row r="687" spans="11:13" ht="15.5" x14ac:dyDescent="0.35">
      <c r="K687" s="8"/>
      <c r="L687" s="8"/>
      <c r="M687" s="8"/>
    </row>
    <row r="688" spans="11:13" ht="15.5" x14ac:dyDescent="0.35">
      <c r="K688" s="8"/>
      <c r="L688" s="8"/>
      <c r="M688" s="8"/>
    </row>
    <row r="689" spans="11:13" ht="15.5" x14ac:dyDescent="0.35">
      <c r="K689" s="8"/>
      <c r="L689" s="8"/>
      <c r="M689" s="8"/>
    </row>
    <row r="690" spans="11:13" ht="15.5" x14ac:dyDescent="0.35">
      <c r="K690" s="8"/>
      <c r="L690" s="8"/>
      <c r="M690" s="8"/>
    </row>
    <row r="691" spans="11:13" ht="15.5" x14ac:dyDescent="0.35">
      <c r="K691" s="8"/>
      <c r="L691" s="8"/>
      <c r="M691" s="8"/>
    </row>
    <row r="692" spans="11:13" ht="15.5" x14ac:dyDescent="0.35">
      <c r="K692" s="8"/>
      <c r="L692" s="8"/>
      <c r="M692" s="8"/>
    </row>
    <row r="693" spans="11:13" ht="15.5" x14ac:dyDescent="0.35">
      <c r="K693" s="8"/>
      <c r="L693" s="8"/>
      <c r="M693" s="8"/>
    </row>
    <row r="694" spans="11:13" ht="15.5" x14ac:dyDescent="0.35">
      <c r="K694" s="8"/>
      <c r="L694" s="8"/>
      <c r="M694" s="8"/>
    </row>
    <row r="695" spans="11:13" ht="15.5" x14ac:dyDescent="0.35">
      <c r="K695" s="8"/>
      <c r="L695" s="8"/>
      <c r="M695" s="8"/>
    </row>
    <row r="696" spans="11:13" ht="15.5" x14ac:dyDescent="0.35">
      <c r="K696" s="8"/>
      <c r="L696" s="8"/>
      <c r="M696" s="8"/>
    </row>
    <row r="697" spans="11:13" ht="15.5" x14ac:dyDescent="0.35">
      <c r="K697" s="8"/>
      <c r="L697" s="8"/>
      <c r="M697" s="8"/>
    </row>
    <row r="698" spans="11:13" ht="15.5" x14ac:dyDescent="0.35">
      <c r="K698" s="8"/>
      <c r="L698" s="8"/>
      <c r="M698" s="8"/>
    </row>
    <row r="699" spans="11:13" ht="15.5" x14ac:dyDescent="0.35">
      <c r="K699" s="8"/>
      <c r="L699" s="8"/>
      <c r="M699" s="8"/>
    </row>
    <row r="700" spans="11:13" ht="15.5" x14ac:dyDescent="0.35">
      <c r="K700" s="8"/>
      <c r="L700" s="8"/>
      <c r="M700" s="8"/>
    </row>
    <row r="701" spans="11:13" ht="15.5" x14ac:dyDescent="0.35">
      <c r="K701" s="8"/>
      <c r="L701" s="8"/>
      <c r="M701" s="8"/>
    </row>
    <row r="702" spans="11:13" ht="15.5" x14ac:dyDescent="0.35">
      <c r="K702" s="8"/>
      <c r="L702" s="8"/>
      <c r="M702" s="8"/>
    </row>
    <row r="703" spans="11:13" ht="15.5" x14ac:dyDescent="0.35">
      <c r="K703" s="8"/>
      <c r="L703" s="8"/>
      <c r="M703" s="8"/>
    </row>
    <row r="704" spans="11:13" ht="15.5" x14ac:dyDescent="0.35">
      <c r="K704" s="8"/>
      <c r="L704" s="8"/>
      <c r="M704" s="8"/>
    </row>
    <row r="705" spans="11:13" ht="15.5" x14ac:dyDescent="0.35">
      <c r="K705" s="8"/>
      <c r="L705" s="8"/>
      <c r="M705" s="8"/>
    </row>
    <row r="706" spans="11:13" ht="15.5" x14ac:dyDescent="0.35">
      <c r="K706" s="8"/>
      <c r="L706" s="8"/>
      <c r="M706" s="8"/>
    </row>
    <row r="707" spans="11:13" ht="15.5" x14ac:dyDescent="0.35">
      <c r="K707" s="8"/>
      <c r="L707" s="8"/>
      <c r="M707" s="8"/>
    </row>
    <row r="708" spans="11:13" ht="15.5" x14ac:dyDescent="0.35">
      <c r="K708" s="8"/>
      <c r="L708" s="8"/>
      <c r="M708" s="8"/>
    </row>
    <row r="709" spans="11:13" ht="15.5" x14ac:dyDescent="0.35">
      <c r="K709" s="8"/>
      <c r="L709" s="8"/>
      <c r="M709" s="8"/>
    </row>
    <row r="710" spans="11:13" ht="15.5" x14ac:dyDescent="0.35">
      <c r="K710" s="8"/>
      <c r="L710" s="8"/>
      <c r="M710" s="8"/>
    </row>
    <row r="711" spans="11:13" ht="15.5" x14ac:dyDescent="0.35">
      <c r="K711" s="8"/>
      <c r="L711" s="8"/>
      <c r="M711" s="8"/>
    </row>
    <row r="712" spans="11:13" ht="15.5" x14ac:dyDescent="0.35">
      <c r="K712" s="8"/>
      <c r="L712" s="8"/>
      <c r="M712" s="8"/>
    </row>
    <row r="713" spans="11:13" ht="15.5" x14ac:dyDescent="0.35">
      <c r="K713" s="8"/>
      <c r="L713" s="8"/>
      <c r="M713" s="8"/>
    </row>
    <row r="714" spans="11:13" ht="15.5" x14ac:dyDescent="0.35">
      <c r="K714" s="8"/>
      <c r="L714" s="8"/>
      <c r="M714" s="8"/>
    </row>
    <row r="715" spans="11:13" ht="15.5" x14ac:dyDescent="0.35">
      <c r="K715" s="8"/>
      <c r="L715" s="8"/>
      <c r="M715" s="8"/>
    </row>
    <row r="716" spans="11:13" ht="15.5" x14ac:dyDescent="0.35">
      <c r="K716" s="8"/>
      <c r="L716" s="8"/>
      <c r="M716" s="8"/>
    </row>
    <row r="717" spans="11:13" ht="15.5" x14ac:dyDescent="0.35">
      <c r="K717" s="8"/>
      <c r="L717" s="8"/>
      <c r="M717" s="8"/>
    </row>
    <row r="718" spans="11:13" ht="15.5" x14ac:dyDescent="0.35">
      <c r="K718" s="8"/>
      <c r="L718" s="8"/>
      <c r="M718" s="8"/>
    </row>
    <row r="719" spans="11:13" ht="15.5" x14ac:dyDescent="0.35">
      <c r="K719" s="8"/>
      <c r="L719" s="8"/>
      <c r="M719" s="8"/>
    </row>
    <row r="720" spans="11:13" ht="15.5" x14ac:dyDescent="0.35">
      <c r="K720" s="8"/>
      <c r="L720" s="8"/>
      <c r="M720" s="8"/>
    </row>
    <row r="721" spans="11:13" ht="15.5" x14ac:dyDescent="0.35">
      <c r="K721" s="8"/>
      <c r="L721" s="8"/>
      <c r="M721" s="8"/>
    </row>
    <row r="722" spans="11:13" ht="15.5" x14ac:dyDescent="0.35">
      <c r="K722" s="8"/>
      <c r="L722" s="8"/>
      <c r="M722" s="8"/>
    </row>
    <row r="723" spans="11:13" ht="15.5" x14ac:dyDescent="0.35">
      <c r="K723" s="8"/>
      <c r="L723" s="8"/>
      <c r="M723" s="8"/>
    </row>
    <row r="724" spans="11:13" ht="15.5" x14ac:dyDescent="0.35">
      <c r="K724" s="8"/>
      <c r="L724" s="8"/>
      <c r="M724" s="8"/>
    </row>
    <row r="725" spans="11:13" ht="15.5" x14ac:dyDescent="0.35">
      <c r="K725" s="8"/>
      <c r="L725" s="8"/>
      <c r="M725" s="8"/>
    </row>
    <row r="726" spans="11:13" ht="15.5" x14ac:dyDescent="0.35">
      <c r="K726" s="8"/>
      <c r="L726" s="8"/>
      <c r="M726" s="8"/>
    </row>
    <row r="727" spans="11:13" ht="15.5" x14ac:dyDescent="0.35">
      <c r="K727" s="8"/>
      <c r="L727" s="8"/>
      <c r="M727" s="8"/>
    </row>
    <row r="728" spans="11:13" ht="15.5" x14ac:dyDescent="0.35">
      <c r="K728" s="8"/>
      <c r="L728" s="8"/>
      <c r="M728" s="8"/>
    </row>
    <row r="729" spans="11:13" ht="15.5" x14ac:dyDescent="0.35">
      <c r="K729" s="8"/>
      <c r="L729" s="8"/>
      <c r="M729" s="8"/>
    </row>
    <row r="730" spans="11:13" ht="15.5" x14ac:dyDescent="0.35">
      <c r="K730" s="8"/>
      <c r="L730" s="8"/>
      <c r="M730" s="8"/>
    </row>
    <row r="731" spans="11:13" ht="15.5" x14ac:dyDescent="0.35">
      <c r="K731" s="8"/>
      <c r="L731" s="8"/>
      <c r="M731" s="8"/>
    </row>
    <row r="732" spans="11:13" ht="15.5" x14ac:dyDescent="0.35">
      <c r="K732" s="8"/>
      <c r="L732" s="8"/>
      <c r="M732" s="8"/>
    </row>
    <row r="733" spans="11:13" ht="15.5" x14ac:dyDescent="0.35">
      <c r="K733" s="8"/>
      <c r="L733" s="8"/>
      <c r="M733" s="8"/>
    </row>
    <row r="734" spans="11:13" ht="15.5" x14ac:dyDescent="0.35">
      <c r="K734" s="8"/>
      <c r="L734" s="8"/>
      <c r="M734" s="8"/>
    </row>
    <row r="735" spans="11:13" ht="15.5" x14ac:dyDescent="0.35">
      <c r="K735" s="8"/>
      <c r="L735" s="8"/>
      <c r="M735" s="8"/>
    </row>
    <row r="736" spans="11:13" ht="15.5" x14ac:dyDescent="0.35">
      <c r="K736" s="8"/>
      <c r="L736" s="8"/>
      <c r="M736" s="8"/>
    </row>
    <row r="737" spans="11:13" ht="15.5" x14ac:dyDescent="0.35">
      <c r="K737" s="8"/>
      <c r="L737" s="8"/>
      <c r="M737" s="8"/>
    </row>
    <row r="738" spans="11:13" ht="15.5" x14ac:dyDescent="0.35">
      <c r="K738" s="8"/>
      <c r="L738" s="8"/>
      <c r="M738" s="8"/>
    </row>
    <row r="739" spans="11:13" ht="15.5" x14ac:dyDescent="0.35">
      <c r="K739" s="8"/>
      <c r="L739" s="8"/>
      <c r="M739" s="8"/>
    </row>
    <row r="740" spans="11:13" ht="15.5" x14ac:dyDescent="0.35">
      <c r="K740" s="8"/>
      <c r="L740" s="8"/>
      <c r="M740" s="8"/>
    </row>
    <row r="741" spans="11:13" ht="15.5" x14ac:dyDescent="0.35">
      <c r="K741" s="8"/>
      <c r="L741" s="8"/>
      <c r="M741" s="8"/>
    </row>
    <row r="742" spans="11:13" ht="15.5" x14ac:dyDescent="0.35">
      <c r="K742" s="8"/>
      <c r="L742" s="8"/>
      <c r="M742" s="8"/>
    </row>
    <row r="743" spans="11:13" ht="15.5" x14ac:dyDescent="0.35">
      <c r="K743" s="8"/>
      <c r="L743" s="8"/>
      <c r="M743" s="8"/>
    </row>
    <row r="744" spans="11:13" ht="15.5" x14ac:dyDescent="0.35">
      <c r="K744" s="8"/>
      <c r="L744" s="8"/>
      <c r="M744" s="8"/>
    </row>
    <row r="745" spans="11:13" ht="15.5" x14ac:dyDescent="0.35">
      <c r="K745" s="8"/>
      <c r="L745" s="8"/>
      <c r="M745" s="8"/>
    </row>
    <row r="746" spans="11:13" ht="15.5" x14ac:dyDescent="0.35">
      <c r="K746" s="8"/>
      <c r="L746" s="8"/>
      <c r="M746" s="8"/>
    </row>
    <row r="747" spans="11:13" ht="15.5" x14ac:dyDescent="0.35">
      <c r="K747" s="8"/>
      <c r="L747" s="8"/>
      <c r="M747" s="8"/>
    </row>
    <row r="748" spans="11:13" ht="15.5" x14ac:dyDescent="0.35">
      <c r="K748" s="8"/>
      <c r="L748" s="8"/>
      <c r="M748" s="8"/>
    </row>
    <row r="749" spans="11:13" ht="15.5" x14ac:dyDescent="0.35">
      <c r="K749" s="8"/>
      <c r="L749" s="8"/>
      <c r="M749" s="8"/>
    </row>
    <row r="750" spans="11:13" ht="15.5" x14ac:dyDescent="0.35">
      <c r="K750" s="8"/>
      <c r="L750" s="8"/>
      <c r="M750" s="8"/>
    </row>
    <row r="751" spans="11:13" ht="15.5" x14ac:dyDescent="0.35">
      <c r="K751" s="8"/>
      <c r="L751" s="8"/>
      <c r="M751" s="8"/>
    </row>
    <row r="752" spans="11:13" ht="15.5" x14ac:dyDescent="0.35">
      <c r="K752" s="8"/>
      <c r="L752" s="8"/>
      <c r="M752" s="8"/>
    </row>
    <row r="753" spans="11:13" ht="15.5" x14ac:dyDescent="0.35">
      <c r="K753" s="8"/>
      <c r="L753" s="8"/>
      <c r="M753" s="8"/>
    </row>
    <row r="754" spans="11:13" ht="15.5" x14ac:dyDescent="0.35">
      <c r="K754" s="8"/>
      <c r="L754" s="8"/>
      <c r="M754" s="8"/>
    </row>
    <row r="755" spans="11:13" ht="15.5" x14ac:dyDescent="0.35">
      <c r="K755" s="8"/>
      <c r="L755" s="8"/>
      <c r="M755" s="8"/>
    </row>
    <row r="756" spans="11:13" ht="15.5" x14ac:dyDescent="0.35">
      <c r="K756" s="8"/>
      <c r="L756" s="8"/>
      <c r="M756" s="8"/>
    </row>
    <row r="757" spans="11:13" ht="15.5" x14ac:dyDescent="0.35">
      <c r="K757" s="8"/>
      <c r="L757" s="8"/>
      <c r="M757" s="8"/>
    </row>
    <row r="758" spans="11:13" ht="15.5" x14ac:dyDescent="0.35">
      <c r="K758" s="8"/>
      <c r="L758" s="8"/>
      <c r="M758" s="8"/>
    </row>
    <row r="759" spans="11:13" ht="15.5" x14ac:dyDescent="0.35">
      <c r="K759" s="8"/>
      <c r="L759" s="8"/>
      <c r="M759" s="8"/>
    </row>
    <row r="760" spans="11:13" ht="15.5" x14ac:dyDescent="0.35">
      <c r="K760" s="8"/>
      <c r="L760" s="8"/>
      <c r="M760" s="8"/>
    </row>
    <row r="761" spans="11:13" ht="15.5" x14ac:dyDescent="0.35">
      <c r="K761" s="8"/>
      <c r="L761" s="8"/>
      <c r="M761" s="8"/>
    </row>
    <row r="762" spans="11:13" ht="15.5" x14ac:dyDescent="0.35">
      <c r="K762" s="8"/>
      <c r="L762" s="8"/>
      <c r="M762" s="8"/>
    </row>
    <row r="763" spans="11:13" ht="15.5" x14ac:dyDescent="0.35">
      <c r="K763" s="8"/>
      <c r="L763" s="8"/>
      <c r="M763" s="8"/>
    </row>
    <row r="764" spans="11:13" ht="15.5" x14ac:dyDescent="0.35">
      <c r="K764" s="8"/>
      <c r="L764" s="8"/>
      <c r="M764" s="8"/>
    </row>
    <row r="765" spans="11:13" ht="15.5" x14ac:dyDescent="0.35">
      <c r="K765" s="8"/>
      <c r="L765" s="8"/>
      <c r="M765" s="8"/>
    </row>
    <row r="766" spans="11:13" ht="15.5" x14ac:dyDescent="0.35">
      <c r="K766" s="8"/>
      <c r="L766" s="8"/>
      <c r="M766" s="8"/>
    </row>
    <row r="767" spans="11:13" ht="15.5" x14ac:dyDescent="0.35">
      <c r="K767" s="8"/>
      <c r="L767" s="8"/>
      <c r="M767" s="8"/>
    </row>
    <row r="768" spans="11:13" ht="15.5" x14ac:dyDescent="0.35">
      <c r="K768" s="8"/>
      <c r="L768" s="8"/>
      <c r="M768" s="8"/>
    </row>
    <row r="769" spans="11:13" ht="15.5" x14ac:dyDescent="0.35">
      <c r="K769" s="8"/>
      <c r="L769" s="8"/>
      <c r="M769" s="8"/>
    </row>
    <row r="770" spans="11:13" ht="15.5" x14ac:dyDescent="0.35">
      <c r="K770" s="8"/>
      <c r="L770" s="8"/>
      <c r="M770" s="8"/>
    </row>
    <row r="771" spans="11:13" ht="15.5" x14ac:dyDescent="0.35">
      <c r="K771" s="8"/>
      <c r="L771" s="8"/>
      <c r="M771" s="8"/>
    </row>
    <row r="772" spans="11:13" ht="15.5" x14ac:dyDescent="0.35">
      <c r="K772" s="8"/>
      <c r="L772" s="8"/>
      <c r="M772" s="8"/>
    </row>
    <row r="773" spans="11:13" ht="15.5" x14ac:dyDescent="0.35">
      <c r="K773" s="8"/>
      <c r="L773" s="8"/>
      <c r="M773" s="8"/>
    </row>
    <row r="774" spans="11:13" ht="15.5" x14ac:dyDescent="0.35">
      <c r="K774" s="8"/>
      <c r="L774" s="8"/>
      <c r="M774" s="8"/>
    </row>
    <row r="775" spans="11:13" ht="15.5" x14ac:dyDescent="0.35">
      <c r="K775" s="8"/>
      <c r="L775" s="8"/>
      <c r="M775" s="8"/>
    </row>
    <row r="776" spans="11:13" ht="15.5" x14ac:dyDescent="0.35">
      <c r="K776" s="8"/>
      <c r="L776" s="8"/>
      <c r="M776" s="8"/>
    </row>
    <row r="777" spans="11:13" ht="15.5" x14ac:dyDescent="0.35">
      <c r="K777" s="8"/>
      <c r="L777" s="8"/>
      <c r="M777" s="8"/>
    </row>
    <row r="778" spans="11:13" ht="15.5" x14ac:dyDescent="0.35">
      <c r="K778" s="8"/>
      <c r="L778" s="8"/>
      <c r="M778" s="8"/>
    </row>
    <row r="779" spans="11:13" ht="15.5" x14ac:dyDescent="0.35">
      <c r="K779" s="8"/>
      <c r="L779" s="8"/>
      <c r="M779" s="8"/>
    </row>
    <row r="780" spans="11:13" ht="15.5" x14ac:dyDescent="0.35">
      <c r="K780" s="8"/>
      <c r="L780" s="8"/>
      <c r="M780" s="8"/>
    </row>
    <row r="781" spans="11:13" ht="15.5" x14ac:dyDescent="0.35">
      <c r="K781" s="8"/>
      <c r="L781" s="8"/>
      <c r="M781" s="8"/>
    </row>
    <row r="782" spans="11:13" ht="15.5" x14ac:dyDescent="0.35">
      <c r="K782" s="8"/>
      <c r="L782" s="8"/>
      <c r="M782" s="8"/>
    </row>
    <row r="783" spans="11:13" ht="15.5" x14ac:dyDescent="0.35">
      <c r="K783" s="8"/>
      <c r="L783" s="8"/>
      <c r="M783" s="8"/>
    </row>
    <row r="784" spans="11:13" ht="15.5" x14ac:dyDescent="0.35">
      <c r="K784" s="8"/>
      <c r="L784" s="8"/>
      <c r="M784" s="8"/>
    </row>
    <row r="785" spans="11:13" ht="15.5" x14ac:dyDescent="0.35">
      <c r="K785" s="8"/>
      <c r="L785" s="8"/>
      <c r="M785" s="8"/>
    </row>
    <row r="786" spans="11:13" ht="15.5" x14ac:dyDescent="0.35">
      <c r="K786" s="8"/>
      <c r="L786" s="8"/>
      <c r="M786" s="8"/>
    </row>
    <row r="787" spans="11:13" ht="15.5" x14ac:dyDescent="0.35">
      <c r="K787" s="8"/>
      <c r="L787" s="8"/>
      <c r="M787" s="8"/>
    </row>
    <row r="788" spans="11:13" ht="15.5" x14ac:dyDescent="0.35">
      <c r="K788" s="8"/>
      <c r="L788" s="8"/>
      <c r="M788" s="8"/>
    </row>
    <row r="789" spans="11:13" ht="15.5" x14ac:dyDescent="0.35">
      <c r="K789" s="8"/>
      <c r="L789" s="8"/>
      <c r="M789" s="8"/>
    </row>
    <row r="790" spans="11:13" ht="15.5" x14ac:dyDescent="0.35">
      <c r="K790" s="8"/>
      <c r="L790" s="8"/>
      <c r="M790" s="8"/>
    </row>
    <row r="791" spans="11:13" ht="15.5" x14ac:dyDescent="0.35">
      <c r="K791" s="8"/>
      <c r="L791" s="8"/>
      <c r="M791" s="8"/>
    </row>
    <row r="792" spans="11:13" ht="15.5" x14ac:dyDescent="0.35">
      <c r="K792" s="8"/>
      <c r="L792" s="8"/>
      <c r="M792" s="8"/>
    </row>
    <row r="793" spans="11:13" ht="15.5" x14ac:dyDescent="0.35">
      <c r="K793" s="8"/>
      <c r="L793" s="8"/>
      <c r="M793" s="8"/>
    </row>
    <row r="794" spans="11:13" ht="15.5" x14ac:dyDescent="0.35">
      <c r="K794" s="8"/>
      <c r="L794" s="8"/>
      <c r="M794" s="8"/>
    </row>
    <row r="795" spans="11:13" ht="15.5" x14ac:dyDescent="0.35">
      <c r="K795" s="8"/>
      <c r="L795" s="8"/>
      <c r="M795" s="8"/>
    </row>
    <row r="796" spans="11:13" ht="15.5" x14ac:dyDescent="0.35">
      <c r="K796" s="8"/>
      <c r="L796" s="8"/>
      <c r="M796" s="8"/>
    </row>
    <row r="797" spans="11:13" ht="15.5" x14ac:dyDescent="0.35">
      <c r="K797" s="8"/>
      <c r="L797" s="8"/>
      <c r="M797" s="8"/>
    </row>
    <row r="798" spans="11:13" ht="15.5" x14ac:dyDescent="0.35">
      <c r="K798" s="8"/>
      <c r="L798" s="8"/>
      <c r="M798" s="8"/>
    </row>
    <row r="799" spans="11:13" ht="15.5" x14ac:dyDescent="0.35">
      <c r="K799" s="8"/>
      <c r="L799" s="8"/>
      <c r="M799" s="8"/>
    </row>
    <row r="800" spans="11:13" ht="15.5" x14ac:dyDescent="0.35">
      <c r="K800" s="8"/>
      <c r="L800" s="8"/>
      <c r="M800" s="8"/>
    </row>
    <row r="801" spans="11:13" ht="15.5" x14ac:dyDescent="0.35">
      <c r="K801" s="8"/>
      <c r="L801" s="8"/>
      <c r="M801" s="8"/>
    </row>
    <row r="802" spans="11:13" ht="15.5" x14ac:dyDescent="0.35">
      <c r="K802" s="8"/>
      <c r="L802" s="8"/>
      <c r="M802" s="8"/>
    </row>
    <row r="803" spans="11:13" ht="15.5" x14ac:dyDescent="0.35">
      <c r="K803" s="8"/>
      <c r="L803" s="8"/>
      <c r="M803" s="8"/>
    </row>
    <row r="804" spans="11:13" ht="15.5" x14ac:dyDescent="0.35">
      <c r="K804" s="8"/>
      <c r="L804" s="8"/>
      <c r="M804" s="8"/>
    </row>
    <row r="805" spans="11:13" ht="15.5" x14ac:dyDescent="0.35">
      <c r="K805" s="8"/>
      <c r="L805" s="8"/>
      <c r="M805" s="8"/>
    </row>
    <row r="806" spans="11:13" ht="15.5" x14ac:dyDescent="0.35">
      <c r="K806" s="8"/>
      <c r="L806" s="8"/>
      <c r="M806" s="8"/>
    </row>
    <row r="807" spans="11:13" ht="15.5" x14ac:dyDescent="0.35">
      <c r="K807" s="8"/>
      <c r="L807" s="8"/>
      <c r="M807" s="8"/>
    </row>
    <row r="808" spans="11:13" ht="15.5" x14ac:dyDescent="0.35">
      <c r="K808" s="8"/>
      <c r="L808" s="8"/>
      <c r="M808" s="8"/>
    </row>
    <row r="809" spans="11:13" ht="15.5" x14ac:dyDescent="0.35">
      <c r="K809" s="8"/>
      <c r="L809" s="8"/>
      <c r="M809" s="8"/>
    </row>
    <row r="810" spans="11:13" ht="15.5" x14ac:dyDescent="0.35">
      <c r="K810" s="8"/>
      <c r="L810" s="8"/>
      <c r="M810" s="8"/>
    </row>
    <row r="811" spans="11:13" ht="15.5" x14ac:dyDescent="0.35">
      <c r="K811" s="8"/>
      <c r="L811" s="8"/>
      <c r="M811" s="8"/>
    </row>
    <row r="812" spans="11:13" ht="15.5" x14ac:dyDescent="0.35">
      <c r="K812" s="8"/>
      <c r="L812" s="8"/>
      <c r="M812" s="8"/>
    </row>
    <row r="813" spans="11:13" ht="15.5" x14ac:dyDescent="0.35">
      <c r="K813" s="8"/>
      <c r="L813" s="8"/>
      <c r="M813" s="8"/>
    </row>
    <row r="814" spans="11:13" ht="15.5" x14ac:dyDescent="0.35">
      <c r="K814" s="8"/>
      <c r="L814" s="8"/>
      <c r="M814" s="8"/>
    </row>
    <row r="815" spans="11:13" ht="15.5" x14ac:dyDescent="0.35">
      <c r="K815" s="8"/>
      <c r="L815" s="8"/>
      <c r="M815" s="8"/>
    </row>
    <row r="816" spans="11:13" ht="15.5" x14ac:dyDescent="0.35">
      <c r="K816" s="8"/>
      <c r="L816" s="8"/>
      <c r="M816" s="8"/>
    </row>
    <row r="817" spans="11:13" ht="15.5" x14ac:dyDescent="0.35">
      <c r="K817" s="8"/>
      <c r="L817" s="8"/>
      <c r="M817" s="8"/>
    </row>
    <row r="818" spans="11:13" ht="15.5" x14ac:dyDescent="0.35">
      <c r="K818" s="8"/>
      <c r="L818" s="8"/>
      <c r="M818" s="8"/>
    </row>
    <row r="819" spans="11:13" ht="15.5" x14ac:dyDescent="0.35">
      <c r="K819" s="8"/>
      <c r="L819" s="8"/>
      <c r="M819" s="8"/>
    </row>
    <row r="820" spans="11:13" ht="15.5" x14ac:dyDescent="0.35">
      <c r="K820" s="8"/>
      <c r="L820" s="8"/>
      <c r="M820" s="8"/>
    </row>
    <row r="821" spans="11:13" ht="15.5" x14ac:dyDescent="0.35">
      <c r="K821" s="8"/>
      <c r="L821" s="8"/>
      <c r="M821" s="8"/>
    </row>
    <row r="822" spans="11:13" ht="15.5" x14ac:dyDescent="0.35">
      <c r="K822" s="8"/>
      <c r="L822" s="8"/>
      <c r="M822" s="8"/>
    </row>
    <row r="823" spans="11:13" ht="15.5" x14ac:dyDescent="0.35">
      <c r="K823" s="8"/>
      <c r="L823" s="8"/>
      <c r="M823" s="8"/>
    </row>
    <row r="824" spans="11:13" ht="15.5" x14ac:dyDescent="0.35">
      <c r="K824" s="8"/>
      <c r="L824" s="8"/>
      <c r="M824" s="8"/>
    </row>
    <row r="825" spans="11:13" ht="15.5" x14ac:dyDescent="0.35">
      <c r="K825" s="8"/>
      <c r="L825" s="8"/>
      <c r="M825" s="8"/>
    </row>
    <row r="826" spans="11:13" ht="15.5" x14ac:dyDescent="0.35">
      <c r="K826" s="8"/>
      <c r="L826" s="8"/>
      <c r="M826" s="8"/>
    </row>
    <row r="827" spans="11:13" ht="15.5" x14ac:dyDescent="0.35">
      <c r="K827" s="8"/>
      <c r="L827" s="8"/>
      <c r="M827" s="8"/>
    </row>
    <row r="828" spans="11:13" ht="15.5" x14ac:dyDescent="0.35">
      <c r="K828" s="8"/>
      <c r="L828" s="8"/>
      <c r="M828" s="8"/>
    </row>
    <row r="829" spans="11:13" ht="15.5" x14ac:dyDescent="0.35">
      <c r="K829" s="8"/>
      <c r="L829" s="8"/>
      <c r="M829" s="8"/>
    </row>
    <row r="830" spans="11:13" ht="15.5" x14ac:dyDescent="0.35">
      <c r="K830" s="8"/>
      <c r="L830" s="8"/>
      <c r="M830" s="8"/>
    </row>
    <row r="831" spans="11:13" ht="15.5" x14ac:dyDescent="0.35">
      <c r="K831" s="8"/>
      <c r="L831" s="8"/>
      <c r="M831" s="8"/>
    </row>
    <row r="832" spans="11:13" ht="15.5" x14ac:dyDescent="0.35">
      <c r="K832" s="8"/>
      <c r="L832" s="8"/>
      <c r="M832" s="8"/>
    </row>
    <row r="833" spans="11:13" ht="15.5" x14ac:dyDescent="0.35">
      <c r="K833" s="8"/>
      <c r="L833" s="8"/>
      <c r="M833" s="8"/>
    </row>
    <row r="834" spans="11:13" ht="15.5" x14ac:dyDescent="0.35">
      <c r="K834" s="8"/>
      <c r="L834" s="8"/>
      <c r="M834" s="8"/>
    </row>
    <row r="835" spans="11:13" ht="15.5" x14ac:dyDescent="0.35">
      <c r="K835" s="8"/>
      <c r="L835" s="8"/>
      <c r="M835" s="8"/>
    </row>
    <row r="836" spans="11:13" ht="15.5" x14ac:dyDescent="0.35">
      <c r="K836" s="8"/>
      <c r="L836" s="8"/>
      <c r="M836" s="8"/>
    </row>
    <row r="837" spans="11:13" ht="15.5" x14ac:dyDescent="0.35">
      <c r="K837" s="8"/>
      <c r="L837" s="8"/>
      <c r="M837" s="8"/>
    </row>
    <row r="838" spans="11:13" ht="15.5" x14ac:dyDescent="0.35">
      <c r="K838" s="8"/>
      <c r="L838" s="8"/>
      <c r="M838" s="8"/>
    </row>
    <row r="839" spans="11:13" ht="15.5" x14ac:dyDescent="0.35">
      <c r="K839" s="8"/>
      <c r="L839" s="8"/>
      <c r="M839" s="8"/>
    </row>
    <row r="840" spans="11:13" ht="15.5" x14ac:dyDescent="0.35">
      <c r="K840" s="8"/>
      <c r="L840" s="8"/>
      <c r="M840" s="8"/>
    </row>
    <row r="841" spans="11:13" ht="15.5" x14ac:dyDescent="0.35">
      <c r="K841" s="8"/>
      <c r="L841" s="8"/>
      <c r="M841" s="8"/>
    </row>
    <row r="842" spans="11:13" ht="15.5" x14ac:dyDescent="0.35">
      <c r="K842" s="8"/>
      <c r="L842" s="8"/>
      <c r="M842" s="8"/>
    </row>
    <row r="843" spans="11:13" ht="15.5" x14ac:dyDescent="0.35">
      <c r="K843" s="8"/>
      <c r="L843" s="8"/>
      <c r="M843" s="8"/>
    </row>
    <row r="844" spans="11:13" ht="15.5" x14ac:dyDescent="0.35">
      <c r="K844" s="8"/>
      <c r="L844" s="8"/>
      <c r="M844" s="8"/>
    </row>
    <row r="845" spans="11:13" ht="15.5" x14ac:dyDescent="0.35">
      <c r="K845" s="8"/>
      <c r="L845" s="8"/>
      <c r="M845" s="8"/>
    </row>
    <row r="846" spans="11:13" ht="15.5" x14ac:dyDescent="0.35">
      <c r="K846" s="8"/>
      <c r="L846" s="8"/>
      <c r="M846" s="8"/>
    </row>
    <row r="847" spans="11:13" ht="15.5" x14ac:dyDescent="0.35">
      <c r="K847" s="8"/>
      <c r="L847" s="8"/>
      <c r="M847" s="8"/>
    </row>
    <row r="848" spans="11:13" ht="15.5" x14ac:dyDescent="0.35">
      <c r="K848" s="8"/>
      <c r="L848" s="8"/>
      <c r="M848" s="8"/>
    </row>
    <row r="849" spans="11:13" ht="15.5" x14ac:dyDescent="0.35">
      <c r="K849" s="8"/>
      <c r="L849" s="8"/>
      <c r="M849" s="8"/>
    </row>
    <row r="850" spans="11:13" ht="15.5" x14ac:dyDescent="0.35">
      <c r="K850" s="8"/>
      <c r="L850" s="8"/>
      <c r="M850" s="8"/>
    </row>
    <row r="851" spans="11:13" ht="15.5" x14ac:dyDescent="0.35">
      <c r="K851" s="8"/>
      <c r="L851" s="8"/>
      <c r="M851" s="8"/>
    </row>
    <row r="852" spans="11:13" ht="15.5" x14ac:dyDescent="0.35">
      <c r="K852" s="8"/>
      <c r="L852" s="8"/>
      <c r="M852" s="8"/>
    </row>
    <row r="853" spans="11:13" ht="15.5" x14ac:dyDescent="0.35">
      <c r="K853" s="8"/>
      <c r="L853" s="8"/>
      <c r="M853" s="8"/>
    </row>
    <row r="854" spans="11:13" ht="15.5" x14ac:dyDescent="0.35">
      <c r="K854" s="8"/>
      <c r="L854" s="8"/>
      <c r="M854" s="8"/>
    </row>
    <row r="855" spans="11:13" ht="15.5" x14ac:dyDescent="0.35">
      <c r="K855" s="8"/>
      <c r="L855" s="8"/>
      <c r="M855" s="8"/>
    </row>
    <row r="856" spans="11:13" ht="15.5" x14ac:dyDescent="0.35">
      <c r="K856" s="8"/>
      <c r="L856" s="8"/>
      <c r="M856" s="8"/>
    </row>
    <row r="857" spans="11:13" ht="15.5" x14ac:dyDescent="0.35">
      <c r="K857" s="8"/>
      <c r="L857" s="8"/>
      <c r="M857" s="8"/>
    </row>
    <row r="858" spans="11:13" ht="15.5" x14ac:dyDescent="0.35">
      <c r="K858" s="8"/>
      <c r="L858" s="8"/>
      <c r="M858" s="8"/>
    </row>
    <row r="859" spans="11:13" ht="15.5" x14ac:dyDescent="0.35">
      <c r="K859" s="8"/>
      <c r="L859" s="8"/>
      <c r="M859" s="8"/>
    </row>
    <row r="860" spans="11:13" ht="15.5" x14ac:dyDescent="0.35">
      <c r="K860" s="8"/>
      <c r="L860" s="8"/>
      <c r="M860" s="8"/>
    </row>
    <row r="861" spans="11:13" ht="15.5" x14ac:dyDescent="0.35">
      <c r="K861" s="8"/>
      <c r="L861" s="8"/>
      <c r="M861" s="8"/>
    </row>
    <row r="862" spans="11:13" ht="15.5" x14ac:dyDescent="0.35">
      <c r="K862" s="8"/>
      <c r="L862" s="8"/>
      <c r="M862" s="8"/>
    </row>
    <row r="863" spans="11:13" ht="15.5" x14ac:dyDescent="0.35">
      <c r="K863" s="8"/>
      <c r="L863" s="8"/>
      <c r="M863" s="8"/>
    </row>
    <row r="864" spans="11:13" ht="15.5" x14ac:dyDescent="0.35">
      <c r="K864" s="8"/>
      <c r="L864" s="8"/>
      <c r="M864" s="8"/>
    </row>
    <row r="865" spans="11:13" ht="15.5" x14ac:dyDescent="0.35">
      <c r="K865" s="8"/>
      <c r="L865" s="8"/>
      <c r="M865" s="8"/>
    </row>
    <row r="866" spans="11:13" ht="15.5" x14ac:dyDescent="0.35">
      <c r="K866" s="8"/>
      <c r="L866" s="8"/>
      <c r="M866" s="8"/>
    </row>
    <row r="867" spans="11:13" ht="15.5" x14ac:dyDescent="0.35">
      <c r="K867" s="8"/>
      <c r="L867" s="8"/>
      <c r="M867" s="8"/>
    </row>
    <row r="868" spans="11:13" ht="15.5" x14ac:dyDescent="0.35">
      <c r="K868" s="8"/>
      <c r="L868" s="8"/>
      <c r="M868" s="8"/>
    </row>
    <row r="869" spans="11:13" ht="15.5" x14ac:dyDescent="0.35">
      <c r="K869" s="8"/>
      <c r="L869" s="8"/>
      <c r="M869" s="8"/>
    </row>
    <row r="870" spans="11:13" ht="15.5" x14ac:dyDescent="0.35">
      <c r="K870" s="8"/>
      <c r="L870" s="8"/>
      <c r="M870" s="8"/>
    </row>
    <row r="871" spans="11:13" ht="15.5" x14ac:dyDescent="0.35">
      <c r="K871" s="8"/>
      <c r="L871" s="8"/>
      <c r="M871" s="8"/>
    </row>
    <row r="872" spans="11:13" ht="15.5" x14ac:dyDescent="0.35">
      <c r="K872" s="8"/>
      <c r="L872" s="8"/>
      <c r="M872" s="8"/>
    </row>
    <row r="873" spans="11:13" ht="15.5" x14ac:dyDescent="0.35">
      <c r="K873" s="8"/>
      <c r="L873" s="8"/>
      <c r="M873" s="8"/>
    </row>
    <row r="874" spans="11:13" ht="15.5" x14ac:dyDescent="0.35">
      <c r="K874" s="8"/>
      <c r="L874" s="8"/>
      <c r="M874" s="8"/>
    </row>
    <row r="875" spans="11:13" ht="15.5" x14ac:dyDescent="0.35">
      <c r="K875" s="8"/>
      <c r="L875" s="8"/>
      <c r="M875" s="8"/>
    </row>
    <row r="876" spans="11:13" ht="15.5" x14ac:dyDescent="0.35">
      <c r="K876" s="8"/>
      <c r="L876" s="8"/>
      <c r="M876" s="8"/>
    </row>
    <row r="877" spans="11:13" ht="15.5" x14ac:dyDescent="0.35">
      <c r="K877" s="8"/>
      <c r="L877" s="8"/>
      <c r="M877" s="8"/>
    </row>
    <row r="878" spans="11:13" ht="15.5" x14ac:dyDescent="0.35">
      <c r="K878" s="8"/>
      <c r="L878" s="8"/>
      <c r="M878" s="8"/>
    </row>
    <row r="879" spans="11:13" ht="15.5" x14ac:dyDescent="0.35">
      <c r="K879" s="8"/>
      <c r="L879" s="8"/>
      <c r="M879" s="8"/>
    </row>
    <row r="880" spans="11:13" ht="15.5" x14ac:dyDescent="0.35">
      <c r="K880" s="8"/>
      <c r="L880" s="8"/>
      <c r="M880" s="8"/>
    </row>
    <row r="881" spans="11:13" ht="15.5" x14ac:dyDescent="0.35">
      <c r="K881" s="8"/>
      <c r="L881" s="8"/>
      <c r="M881" s="8"/>
    </row>
    <row r="882" spans="11:13" ht="15.5" x14ac:dyDescent="0.35">
      <c r="K882" s="8"/>
      <c r="L882" s="8"/>
      <c r="M882" s="8"/>
    </row>
    <row r="883" spans="11:13" ht="15.5" x14ac:dyDescent="0.35">
      <c r="K883" s="8"/>
      <c r="L883" s="8"/>
      <c r="M883" s="8"/>
    </row>
    <row r="884" spans="11:13" ht="15.5" x14ac:dyDescent="0.35">
      <c r="K884" s="8"/>
      <c r="L884" s="8"/>
      <c r="M884" s="8"/>
    </row>
    <row r="885" spans="11:13" ht="15.5" x14ac:dyDescent="0.35">
      <c r="K885" s="8"/>
      <c r="L885" s="8"/>
      <c r="M885" s="8"/>
    </row>
    <row r="886" spans="11:13" ht="15.5" x14ac:dyDescent="0.35">
      <c r="K886" s="8"/>
      <c r="L886" s="8"/>
      <c r="M886" s="8"/>
    </row>
    <row r="887" spans="11:13" ht="15.5" x14ac:dyDescent="0.35">
      <c r="K887" s="8"/>
      <c r="L887" s="8"/>
      <c r="M887" s="8"/>
    </row>
    <row r="888" spans="11:13" ht="15.5" x14ac:dyDescent="0.35">
      <c r="K888" s="8"/>
      <c r="L888" s="8"/>
      <c r="M888" s="8"/>
    </row>
    <row r="889" spans="11:13" ht="15.5" x14ac:dyDescent="0.35">
      <c r="K889" s="8"/>
      <c r="L889" s="8"/>
      <c r="M889" s="8"/>
    </row>
    <row r="890" spans="11:13" ht="15.5" x14ac:dyDescent="0.35">
      <c r="K890" s="8"/>
      <c r="L890" s="8"/>
      <c r="M890" s="8"/>
    </row>
    <row r="891" spans="11:13" ht="15.5" x14ac:dyDescent="0.35">
      <c r="K891" s="8"/>
      <c r="L891" s="8"/>
      <c r="M891" s="8"/>
    </row>
    <row r="892" spans="11:13" ht="15.5" x14ac:dyDescent="0.35">
      <c r="K892" s="8"/>
      <c r="L892" s="8"/>
      <c r="M892" s="8"/>
    </row>
    <row r="893" spans="11:13" ht="15.5" x14ac:dyDescent="0.35">
      <c r="K893" s="8"/>
      <c r="L893" s="8"/>
      <c r="M893" s="8"/>
    </row>
    <row r="894" spans="11:13" ht="15.5" x14ac:dyDescent="0.35">
      <c r="K894" s="8"/>
      <c r="L894" s="8"/>
      <c r="M894" s="8"/>
    </row>
    <row r="895" spans="11:13" ht="15.5" x14ac:dyDescent="0.35">
      <c r="K895" s="8"/>
      <c r="L895" s="8"/>
      <c r="M895" s="8"/>
    </row>
    <row r="896" spans="11:13" ht="15.5" x14ac:dyDescent="0.35">
      <c r="K896" s="8"/>
      <c r="L896" s="8"/>
      <c r="M896" s="8"/>
    </row>
    <row r="897" spans="11:13" ht="15.5" x14ac:dyDescent="0.35">
      <c r="K897" s="8"/>
      <c r="L897" s="8"/>
      <c r="M897" s="8"/>
    </row>
    <row r="898" spans="11:13" ht="15.5" x14ac:dyDescent="0.35">
      <c r="K898" s="8"/>
      <c r="L898" s="8"/>
      <c r="M898" s="8"/>
    </row>
    <row r="899" spans="11:13" ht="15.5" x14ac:dyDescent="0.35">
      <c r="K899" s="8"/>
      <c r="L899" s="8"/>
      <c r="M899" s="8"/>
    </row>
    <row r="900" spans="11:13" ht="15.5" x14ac:dyDescent="0.35">
      <c r="K900" s="8"/>
      <c r="L900" s="8"/>
      <c r="M900" s="8"/>
    </row>
    <row r="901" spans="11:13" ht="15.5" x14ac:dyDescent="0.35">
      <c r="K901" s="8"/>
      <c r="L901" s="8"/>
      <c r="M901" s="8"/>
    </row>
    <row r="902" spans="11:13" ht="15.5" x14ac:dyDescent="0.35">
      <c r="K902" s="8"/>
      <c r="L902" s="8"/>
      <c r="M902" s="8"/>
    </row>
    <row r="903" spans="11:13" ht="15.5" x14ac:dyDescent="0.35">
      <c r="K903" s="8"/>
      <c r="L903" s="8"/>
      <c r="M903" s="8"/>
    </row>
    <row r="904" spans="11:13" ht="15.5" x14ac:dyDescent="0.35">
      <c r="K904" s="8"/>
      <c r="L904" s="8"/>
      <c r="M904" s="8"/>
    </row>
    <row r="905" spans="11:13" ht="15.5" x14ac:dyDescent="0.35">
      <c r="K905" s="8"/>
      <c r="L905" s="8"/>
      <c r="M905" s="8"/>
    </row>
    <row r="906" spans="11:13" ht="15.5" x14ac:dyDescent="0.35">
      <c r="K906" s="8"/>
      <c r="L906" s="8"/>
      <c r="M906" s="8"/>
    </row>
    <row r="907" spans="11:13" ht="15.5" x14ac:dyDescent="0.35">
      <c r="K907" s="8"/>
      <c r="L907" s="8"/>
      <c r="M907" s="8"/>
    </row>
    <row r="908" spans="11:13" ht="15.5" x14ac:dyDescent="0.35">
      <c r="K908" s="8"/>
      <c r="L908" s="8"/>
      <c r="M908" s="8"/>
    </row>
    <row r="909" spans="11:13" ht="15.5" x14ac:dyDescent="0.35">
      <c r="K909" s="8"/>
      <c r="L909" s="8"/>
      <c r="M909" s="8"/>
    </row>
    <row r="910" spans="11:13" ht="15.5" x14ac:dyDescent="0.35">
      <c r="K910" s="8"/>
      <c r="L910" s="8"/>
      <c r="M910" s="8"/>
    </row>
    <row r="911" spans="11:13" ht="15.5" x14ac:dyDescent="0.35">
      <c r="K911" s="8"/>
      <c r="L911" s="8"/>
      <c r="M911" s="8"/>
    </row>
    <row r="912" spans="11:13" ht="15.5" x14ac:dyDescent="0.35">
      <c r="K912" s="8"/>
      <c r="L912" s="8"/>
      <c r="M912" s="8"/>
    </row>
    <row r="913" spans="11:13" ht="15.5" x14ac:dyDescent="0.35">
      <c r="K913" s="8"/>
      <c r="L913" s="8"/>
      <c r="M913" s="8"/>
    </row>
    <row r="914" spans="11:13" ht="15.5" x14ac:dyDescent="0.35">
      <c r="K914" s="8"/>
      <c r="L914" s="8"/>
      <c r="M914" s="8"/>
    </row>
    <row r="915" spans="11:13" ht="15.5" x14ac:dyDescent="0.35">
      <c r="K915" s="8"/>
      <c r="L915" s="8"/>
      <c r="M915" s="8"/>
    </row>
    <row r="916" spans="11:13" ht="15.5" x14ac:dyDescent="0.35">
      <c r="K916" s="8"/>
      <c r="L916" s="8"/>
      <c r="M916" s="8"/>
    </row>
    <row r="917" spans="11:13" ht="15.5" x14ac:dyDescent="0.35">
      <c r="K917" s="8"/>
      <c r="L917" s="8"/>
      <c r="M917" s="8"/>
    </row>
    <row r="918" spans="11:13" ht="15.5" x14ac:dyDescent="0.35">
      <c r="K918" s="8"/>
      <c r="L918" s="8"/>
      <c r="M918" s="8"/>
    </row>
    <row r="919" spans="11:13" ht="15.5" x14ac:dyDescent="0.35">
      <c r="K919" s="8"/>
      <c r="L919" s="8"/>
      <c r="M919" s="8"/>
    </row>
    <row r="920" spans="11:13" ht="15.5" x14ac:dyDescent="0.35">
      <c r="K920" s="8"/>
      <c r="L920" s="8"/>
      <c r="M920" s="8"/>
    </row>
    <row r="921" spans="11:13" ht="15.5" x14ac:dyDescent="0.35">
      <c r="K921" s="8"/>
      <c r="L921" s="8"/>
      <c r="M921" s="8"/>
    </row>
    <row r="922" spans="11:13" ht="15.5" x14ac:dyDescent="0.35">
      <c r="K922" s="8"/>
      <c r="L922" s="8"/>
      <c r="M922" s="8"/>
    </row>
    <row r="923" spans="11:13" ht="15.5" x14ac:dyDescent="0.35">
      <c r="K923" s="8"/>
      <c r="L923" s="8"/>
      <c r="M923" s="8"/>
    </row>
    <row r="924" spans="11:13" ht="15.5" x14ac:dyDescent="0.35">
      <c r="K924" s="8"/>
      <c r="L924" s="8"/>
      <c r="M924" s="8"/>
    </row>
    <row r="925" spans="11:13" ht="15.5" x14ac:dyDescent="0.35">
      <c r="K925" s="8"/>
      <c r="L925" s="8"/>
      <c r="M925" s="8"/>
    </row>
    <row r="926" spans="11:13" ht="15.5" x14ac:dyDescent="0.35">
      <c r="K926" s="8"/>
      <c r="L926" s="8"/>
      <c r="M926" s="8"/>
    </row>
    <row r="927" spans="11:13" ht="15.5" x14ac:dyDescent="0.35">
      <c r="K927" s="8"/>
      <c r="L927" s="8"/>
      <c r="M927" s="8"/>
    </row>
    <row r="928" spans="11:13" ht="15.5" x14ac:dyDescent="0.35">
      <c r="K928" s="8"/>
      <c r="L928" s="8"/>
      <c r="M928" s="8"/>
    </row>
    <row r="929" spans="11:13" ht="15.5" x14ac:dyDescent="0.35">
      <c r="K929" s="8"/>
      <c r="L929" s="8"/>
      <c r="M929" s="8"/>
    </row>
    <row r="930" spans="11:13" ht="15.5" x14ac:dyDescent="0.35">
      <c r="K930" s="8"/>
      <c r="L930" s="8"/>
      <c r="M930" s="8"/>
    </row>
    <row r="931" spans="11:13" ht="15.5" x14ac:dyDescent="0.35">
      <c r="K931" s="8"/>
      <c r="L931" s="8"/>
      <c r="M931" s="8"/>
    </row>
    <row r="932" spans="11:13" ht="15.5" x14ac:dyDescent="0.35">
      <c r="K932" s="8"/>
      <c r="L932" s="8"/>
      <c r="M932" s="8"/>
    </row>
    <row r="933" spans="11:13" ht="15.5" x14ac:dyDescent="0.35">
      <c r="K933" s="8"/>
      <c r="L933" s="8"/>
      <c r="M933" s="8"/>
    </row>
    <row r="934" spans="11:13" ht="15.5" x14ac:dyDescent="0.35">
      <c r="K934" s="8"/>
      <c r="L934" s="8"/>
      <c r="M934" s="8"/>
    </row>
    <row r="935" spans="11:13" ht="15.5" x14ac:dyDescent="0.35">
      <c r="K935" s="8"/>
      <c r="L935" s="8"/>
      <c r="M935" s="8"/>
    </row>
    <row r="936" spans="11:13" ht="15.5" x14ac:dyDescent="0.35">
      <c r="K936" s="8"/>
      <c r="L936" s="8"/>
      <c r="M936" s="8"/>
    </row>
    <row r="937" spans="11:13" ht="15.5" x14ac:dyDescent="0.35">
      <c r="K937" s="8"/>
      <c r="L937" s="8"/>
      <c r="M937" s="8"/>
    </row>
    <row r="938" spans="11:13" ht="15.5" x14ac:dyDescent="0.35">
      <c r="K938" s="8"/>
      <c r="L938" s="8"/>
      <c r="M938" s="8"/>
    </row>
    <row r="939" spans="11:13" ht="15.5" x14ac:dyDescent="0.35">
      <c r="K939" s="8"/>
      <c r="L939" s="8"/>
      <c r="M939" s="8"/>
    </row>
    <row r="940" spans="11:13" ht="15.5" x14ac:dyDescent="0.35">
      <c r="K940" s="8"/>
      <c r="L940" s="8"/>
      <c r="M940" s="8"/>
    </row>
    <row r="941" spans="11:13" ht="15.5" x14ac:dyDescent="0.35">
      <c r="K941" s="8"/>
      <c r="L941" s="8"/>
      <c r="M941" s="8"/>
    </row>
    <row r="942" spans="11:13" ht="15.5" x14ac:dyDescent="0.35">
      <c r="K942" s="8"/>
      <c r="L942" s="8"/>
      <c r="M942" s="8"/>
    </row>
    <row r="943" spans="11:13" ht="15.5" x14ac:dyDescent="0.35">
      <c r="K943" s="8"/>
      <c r="L943" s="8"/>
      <c r="M943" s="8"/>
    </row>
    <row r="944" spans="11:13" ht="15.5" x14ac:dyDescent="0.35">
      <c r="K944" s="8"/>
      <c r="L944" s="8"/>
      <c r="M944" s="8"/>
    </row>
    <row r="945" spans="11:13" ht="15.5" x14ac:dyDescent="0.35">
      <c r="K945" s="8"/>
      <c r="L945" s="8"/>
      <c r="M945" s="8"/>
    </row>
    <row r="946" spans="11:13" ht="15.5" x14ac:dyDescent="0.35">
      <c r="K946" s="8"/>
      <c r="L946" s="8"/>
      <c r="M946" s="8"/>
    </row>
    <row r="947" spans="11:13" ht="15.5" x14ac:dyDescent="0.35">
      <c r="K947" s="8"/>
      <c r="L947" s="8"/>
      <c r="M947" s="8"/>
    </row>
    <row r="948" spans="11:13" ht="15.5" x14ac:dyDescent="0.35">
      <c r="K948" s="8"/>
      <c r="L948" s="8"/>
      <c r="M948" s="8"/>
    </row>
    <row r="949" spans="11:13" ht="15.5" x14ac:dyDescent="0.35">
      <c r="K949" s="8"/>
      <c r="L949" s="8"/>
      <c r="M949" s="8"/>
    </row>
    <row r="950" spans="11:13" ht="15.5" x14ac:dyDescent="0.35">
      <c r="K950" s="8"/>
      <c r="L950" s="8"/>
      <c r="M950" s="8"/>
    </row>
    <row r="951" spans="11:13" ht="15.5" x14ac:dyDescent="0.35">
      <c r="K951" s="8"/>
      <c r="L951" s="8"/>
      <c r="M951" s="8"/>
    </row>
    <row r="952" spans="11:13" ht="15.5" x14ac:dyDescent="0.35">
      <c r="K952" s="8"/>
      <c r="L952" s="8"/>
      <c r="M952" s="8"/>
    </row>
    <row r="953" spans="11:13" ht="15.5" x14ac:dyDescent="0.35">
      <c r="K953" s="8"/>
      <c r="L953" s="8"/>
      <c r="M953" s="8"/>
    </row>
    <row r="954" spans="11:13" ht="15.5" x14ac:dyDescent="0.35">
      <c r="K954" s="8"/>
      <c r="L954" s="8"/>
      <c r="M954" s="8"/>
    </row>
    <row r="955" spans="11:13" ht="15.5" x14ac:dyDescent="0.35">
      <c r="K955" s="8"/>
      <c r="L955" s="8"/>
      <c r="M955" s="8"/>
    </row>
    <row r="956" spans="11:13" ht="15.5" x14ac:dyDescent="0.35">
      <c r="K956" s="8"/>
      <c r="L956" s="8"/>
      <c r="M956" s="8"/>
    </row>
    <row r="957" spans="11:13" ht="15.5" x14ac:dyDescent="0.35">
      <c r="K957" s="8"/>
      <c r="L957" s="8"/>
      <c r="M957" s="8"/>
    </row>
    <row r="958" spans="11:13" ht="15.5" x14ac:dyDescent="0.35">
      <c r="K958" s="8"/>
      <c r="L958" s="8"/>
      <c r="M958" s="8"/>
    </row>
    <row r="959" spans="11:13" ht="15.5" x14ac:dyDescent="0.35">
      <c r="K959" s="8"/>
      <c r="L959" s="8"/>
      <c r="M959" s="8"/>
    </row>
    <row r="960" spans="11:13" ht="15.5" x14ac:dyDescent="0.35">
      <c r="K960" s="8"/>
      <c r="L960" s="8"/>
      <c r="M960" s="8"/>
    </row>
    <row r="961" spans="11:13" ht="15.5" x14ac:dyDescent="0.35">
      <c r="K961" s="8"/>
      <c r="L961" s="8"/>
      <c r="M961" s="8"/>
    </row>
    <row r="962" spans="11:13" ht="15.5" x14ac:dyDescent="0.35">
      <c r="K962" s="8"/>
      <c r="L962" s="8"/>
      <c r="M962" s="8"/>
    </row>
    <row r="963" spans="11:13" ht="15.5" x14ac:dyDescent="0.35">
      <c r="K963" s="8"/>
      <c r="L963" s="8"/>
      <c r="M963" s="8"/>
    </row>
    <row r="964" spans="11:13" ht="15.5" x14ac:dyDescent="0.35">
      <c r="K964" s="8"/>
      <c r="L964" s="8"/>
      <c r="M964" s="8"/>
    </row>
    <row r="965" spans="11:13" ht="15.5" x14ac:dyDescent="0.35">
      <c r="K965" s="8"/>
      <c r="L965" s="8"/>
      <c r="M965" s="8"/>
    </row>
    <row r="966" spans="11:13" ht="15.5" x14ac:dyDescent="0.35">
      <c r="K966" s="8"/>
      <c r="L966" s="8"/>
      <c r="M966" s="8"/>
    </row>
    <row r="967" spans="11:13" ht="15.5" x14ac:dyDescent="0.35">
      <c r="K967" s="8"/>
      <c r="L967" s="8"/>
      <c r="M967" s="8"/>
    </row>
    <row r="968" spans="11:13" ht="15.5" x14ac:dyDescent="0.35">
      <c r="K968" s="8"/>
      <c r="L968" s="8"/>
      <c r="M968" s="8"/>
    </row>
    <row r="969" spans="11:13" ht="15.5" x14ac:dyDescent="0.35">
      <c r="K969" s="8"/>
      <c r="L969" s="8"/>
      <c r="M969" s="8"/>
    </row>
    <row r="970" spans="11:13" ht="15.5" x14ac:dyDescent="0.35">
      <c r="K970" s="8"/>
      <c r="L970" s="8"/>
      <c r="M970" s="8"/>
    </row>
    <row r="971" spans="11:13" ht="15.5" x14ac:dyDescent="0.35">
      <c r="K971" s="8"/>
      <c r="L971" s="8"/>
      <c r="M971" s="8"/>
    </row>
    <row r="972" spans="11:13" ht="15.5" x14ac:dyDescent="0.35">
      <c r="K972" s="8"/>
      <c r="L972" s="8"/>
      <c r="M972" s="8"/>
    </row>
    <row r="973" spans="11:13" ht="15.5" x14ac:dyDescent="0.35">
      <c r="K973" s="8"/>
      <c r="L973" s="8"/>
      <c r="M973" s="8"/>
    </row>
    <row r="974" spans="11:13" ht="15.5" x14ac:dyDescent="0.35">
      <c r="K974" s="8"/>
      <c r="L974" s="8"/>
      <c r="M974" s="8"/>
    </row>
    <row r="975" spans="11:13" ht="15.5" x14ac:dyDescent="0.35">
      <c r="K975" s="8"/>
      <c r="L975" s="8"/>
      <c r="M975" s="8"/>
    </row>
    <row r="976" spans="11:13" ht="15.5" x14ac:dyDescent="0.35">
      <c r="K976" s="8"/>
      <c r="L976" s="8"/>
      <c r="M976" s="8"/>
    </row>
    <row r="977" spans="11:13" ht="15.5" x14ac:dyDescent="0.35">
      <c r="K977" s="8"/>
      <c r="L977" s="8"/>
      <c r="M977" s="8"/>
    </row>
    <row r="978" spans="11:13" ht="15.5" x14ac:dyDescent="0.35">
      <c r="K978" s="8"/>
      <c r="L978" s="8"/>
      <c r="M978" s="8"/>
    </row>
    <row r="979" spans="11:13" ht="15.5" x14ac:dyDescent="0.35">
      <c r="K979" s="8"/>
      <c r="L979" s="8"/>
      <c r="M979" s="8"/>
    </row>
    <row r="980" spans="11:13" ht="15.5" x14ac:dyDescent="0.35">
      <c r="K980" s="8"/>
      <c r="L980" s="8"/>
      <c r="M980" s="8"/>
    </row>
    <row r="981" spans="11:13" ht="15.5" x14ac:dyDescent="0.35">
      <c r="K981" s="8"/>
      <c r="L981" s="8"/>
      <c r="M981" s="8"/>
    </row>
    <row r="982" spans="11:13" ht="15.5" x14ac:dyDescent="0.35">
      <c r="K982" s="8"/>
      <c r="L982" s="8"/>
      <c r="M982" s="8"/>
    </row>
    <row r="983" spans="11:13" ht="15.5" x14ac:dyDescent="0.35">
      <c r="K983" s="8"/>
      <c r="L983" s="8"/>
      <c r="M983" s="8"/>
    </row>
    <row r="984" spans="11:13" ht="15.5" x14ac:dyDescent="0.35">
      <c r="K984" s="8"/>
      <c r="L984" s="8"/>
      <c r="M984" s="8"/>
    </row>
    <row r="985" spans="11:13" ht="15.5" x14ac:dyDescent="0.35">
      <c r="K985" s="8"/>
      <c r="L985" s="8"/>
      <c r="M985" s="8"/>
    </row>
    <row r="986" spans="11:13" ht="15.5" x14ac:dyDescent="0.35">
      <c r="K986" s="8"/>
      <c r="L986" s="8"/>
      <c r="M986" s="8"/>
    </row>
    <row r="987" spans="11:13" ht="15.5" x14ac:dyDescent="0.35">
      <c r="K987" s="8"/>
      <c r="L987" s="8"/>
      <c r="M987" s="8"/>
    </row>
    <row r="988" spans="11:13" ht="15.5" x14ac:dyDescent="0.35">
      <c r="K988" s="8"/>
      <c r="L988" s="8"/>
      <c r="M988" s="8"/>
    </row>
    <row r="989" spans="11:13" ht="15.5" x14ac:dyDescent="0.35">
      <c r="K989" s="8"/>
      <c r="L989" s="8"/>
      <c r="M989" s="8"/>
    </row>
    <row r="990" spans="11:13" ht="15.5" x14ac:dyDescent="0.35">
      <c r="K990" s="8"/>
      <c r="L990" s="8"/>
      <c r="M990" s="8"/>
    </row>
    <row r="991" spans="11:13" ht="15.5" x14ac:dyDescent="0.35">
      <c r="K991" s="8"/>
      <c r="L991" s="8"/>
      <c r="M991" s="8"/>
    </row>
    <row r="992" spans="11:13" ht="15.5" x14ac:dyDescent="0.35">
      <c r="K992" s="8"/>
      <c r="L992" s="8"/>
      <c r="M992" s="8"/>
    </row>
    <row r="993" spans="11:13" ht="15.5" x14ac:dyDescent="0.35">
      <c r="K993" s="8"/>
      <c r="L993" s="8"/>
      <c r="M993" s="8"/>
    </row>
    <row r="994" spans="11:13" ht="15.5" x14ac:dyDescent="0.35">
      <c r="K994" s="8"/>
      <c r="L994" s="8"/>
      <c r="M994" s="8"/>
    </row>
    <row r="995" spans="11:13" ht="15.5" x14ac:dyDescent="0.35">
      <c r="K995" s="8"/>
      <c r="L995" s="8"/>
      <c r="M995" s="8"/>
    </row>
    <row r="996" spans="11:13" ht="15.5" x14ac:dyDescent="0.35">
      <c r="K996" s="8"/>
      <c r="L996" s="8"/>
      <c r="M996" s="8"/>
    </row>
    <row r="997" spans="11:13" ht="15.5" x14ac:dyDescent="0.35">
      <c r="K997" s="8"/>
      <c r="L997" s="8"/>
      <c r="M997" s="8"/>
    </row>
    <row r="998" spans="11:13" ht="15.5" x14ac:dyDescent="0.35">
      <c r="K998" s="8"/>
      <c r="L998" s="8"/>
      <c r="M998" s="8"/>
    </row>
    <row r="999" spans="11:13" ht="15.5" x14ac:dyDescent="0.35">
      <c r="K999" s="8"/>
      <c r="L999" s="8"/>
      <c r="M999" s="8"/>
    </row>
    <row r="1000" spans="11:13" ht="15.5" x14ac:dyDescent="0.35">
      <c r="K1000" s="8"/>
      <c r="L1000" s="8"/>
      <c r="M1000" s="8"/>
    </row>
  </sheetData>
  <mergeCells count="6">
    <mergeCell ref="A1:P1"/>
    <mergeCell ref="B2:D2"/>
    <mergeCell ref="E2:G2"/>
    <mergeCell ref="H2:J2"/>
    <mergeCell ref="K2:M2"/>
    <mergeCell ref="N2:P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Jumlah Pend Miskin</vt:lpstr>
      <vt:lpstr>P0</vt:lpstr>
      <vt:lpstr>GK</vt:lpstr>
      <vt:lpstr>P1</vt:lpstr>
      <vt:lpstr>P2</vt:lpstr>
      <vt:lpstr>Gini Ratio</vt:lpstr>
      <vt:lpstr>AMH Miskin</vt:lpstr>
      <vt:lpstr>Pendidikan Tamat</vt:lpstr>
      <vt:lpstr>APS Miskin</vt:lpstr>
      <vt:lpstr>Keluhan Kesehatan</vt:lpstr>
      <vt:lpstr>Kepemilikan Jamkes</vt:lpstr>
      <vt:lpstr>Status Bekerja</vt:lpstr>
      <vt:lpstr>Sektor Bekerja</vt:lpstr>
      <vt:lpstr>Atap Layak</vt:lpstr>
      <vt:lpstr>Dinding Layak</vt:lpstr>
      <vt:lpstr>Lantai Layak</vt:lpstr>
      <vt:lpstr>Air Layak dan Jamban</vt:lpstr>
      <vt:lpstr>Pengeluaran Makanan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 Prov Jawa Timur</dc:creator>
  <cp:lastModifiedBy>Geonisrina Alsyaifi</cp:lastModifiedBy>
  <dcterms:created xsi:type="dcterms:W3CDTF">2025-09-03T09:04:06Z</dcterms:created>
  <dcterms:modified xsi:type="dcterms:W3CDTF">2025-10-24T04:31:47Z</dcterms:modified>
</cp:coreProperties>
</file>